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9D8DF75DDAFD4C/Dokumente/PROMOTION/ARBEIT/Methoden/Statistik/"/>
    </mc:Choice>
  </mc:AlternateContent>
  <xr:revisionPtr revIDLastSave="22" documentId="8_{8C430273-13D9-4D78-964B-505932771A35}" xr6:coauthVersionLast="47" xr6:coauthVersionMax="47" xr10:uidLastSave="{948CA380-D08C-434A-B249-8E429843C6C8}"/>
  <bookViews>
    <workbookView xWindow="-108" yWindow="-108" windowWidth="23256" windowHeight="12456" activeTab="3" xr2:uid="{5F9B3496-5A46-4AE5-9EA8-BAD53CC3AE62}"/>
  </bookViews>
  <sheets>
    <sheet name="Validierung3_VPT " sheetId="9" r:id="rId1"/>
    <sheet name="VPT_fresh_frozen" sheetId="12" r:id="rId2"/>
    <sheet name="VPT_fresh_cooled" sheetId="10" r:id="rId3"/>
    <sheet name="VPT_nativ_ret_filt" sheetId="14" r:id="rId4"/>
    <sheet name="VPT_Patients_POC" sheetId="15" r:id="rId5"/>
  </sheets>
  <externalReferences>
    <externalReference r:id="rId6"/>
  </externalReferences>
  <definedNames>
    <definedName name="_xlnm._FilterDatabase" localSheetId="0" hidden="1">'Validierung3_VPT '!$A$1:$P$138</definedName>
    <definedName name="_xlnm._FilterDatabase" localSheetId="2" hidden="1">VPT_fresh_cooled!$A$1:$Q$63</definedName>
    <definedName name="_xlnm._FilterDatabase" localSheetId="1" hidden="1">VPT_fresh_frozen!$A$1:$Q$123</definedName>
    <definedName name="_xlnm._FilterDatabase" localSheetId="3" hidden="1">VPT_nativ_ret_filt!$A$1:$Q$63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11" i="15" l="1"/>
  <c r="AD211" i="15"/>
  <c r="AB211" i="15"/>
  <c r="AA211" i="15"/>
  <c r="Z211" i="15"/>
  <c r="Y211" i="15"/>
  <c r="X211" i="15"/>
  <c r="W211" i="15"/>
  <c r="O211" i="15"/>
  <c r="N211" i="15"/>
  <c r="AE210" i="15"/>
  <c r="AD210" i="15"/>
  <c r="AC210" i="15"/>
  <c r="O210" i="15"/>
  <c r="N210" i="15"/>
  <c r="AE209" i="15"/>
  <c r="AD209" i="15"/>
  <c r="AC209" i="15"/>
  <c r="O209" i="15"/>
  <c r="N209" i="15"/>
  <c r="AE208" i="15"/>
  <c r="AD208" i="15"/>
  <c r="AC208" i="15"/>
  <c r="O208" i="15"/>
  <c r="N208" i="15"/>
  <c r="AE207" i="15"/>
  <c r="AD207" i="15"/>
  <c r="AC207" i="15"/>
  <c r="O207" i="15"/>
  <c r="N207" i="15"/>
  <c r="AE206" i="15"/>
  <c r="AD206" i="15"/>
  <c r="AC206" i="15"/>
  <c r="O206" i="15"/>
  <c r="N206" i="15"/>
  <c r="AE205" i="15"/>
  <c r="AD205" i="15"/>
  <c r="AC205" i="15"/>
  <c r="O205" i="15"/>
  <c r="N205" i="15"/>
  <c r="AE204" i="15"/>
  <c r="AD204" i="15"/>
  <c r="AC204" i="15"/>
  <c r="O204" i="15"/>
  <c r="N204" i="15"/>
  <c r="AE203" i="15"/>
  <c r="AD203" i="15"/>
  <c r="AC203" i="15"/>
  <c r="O203" i="15"/>
  <c r="N203" i="15"/>
  <c r="AE202" i="15"/>
  <c r="AD202" i="15"/>
  <c r="AC202" i="15"/>
  <c r="O202" i="15"/>
  <c r="N202" i="15"/>
  <c r="AE201" i="15"/>
  <c r="AD201" i="15"/>
  <c r="AB201" i="15"/>
  <c r="AA201" i="15"/>
  <c r="Z201" i="15"/>
  <c r="Y201" i="15"/>
  <c r="X201" i="15"/>
  <c r="W201" i="15"/>
  <c r="O201" i="15"/>
  <c r="N201" i="15"/>
  <c r="AE200" i="15"/>
  <c r="AD200" i="15"/>
  <c r="AC200" i="15"/>
  <c r="O200" i="15"/>
  <c r="N200" i="15"/>
  <c r="AE199" i="15"/>
  <c r="AD199" i="15"/>
  <c r="AC199" i="15"/>
  <c r="O199" i="15"/>
  <c r="N199" i="15"/>
  <c r="AE198" i="15"/>
  <c r="AD198" i="15"/>
  <c r="AC198" i="15"/>
  <c r="O198" i="15"/>
  <c r="N198" i="15"/>
  <c r="AE197" i="15"/>
  <c r="AD197" i="15"/>
  <c r="AC197" i="15"/>
  <c r="O197" i="15"/>
  <c r="N197" i="15"/>
  <c r="AE196" i="15"/>
  <c r="AD196" i="15"/>
  <c r="AC196" i="15"/>
  <c r="O196" i="15"/>
  <c r="N196" i="15"/>
  <c r="AE195" i="15"/>
  <c r="AD195" i="15"/>
  <c r="AC195" i="15"/>
  <c r="O195" i="15"/>
  <c r="N195" i="15"/>
  <c r="AE194" i="15"/>
  <c r="AD194" i="15"/>
  <c r="AC194" i="15"/>
  <c r="O194" i="15"/>
  <c r="N194" i="15"/>
  <c r="AE193" i="15"/>
  <c r="AD193" i="15"/>
  <c r="AC193" i="15"/>
  <c r="O193" i="15"/>
  <c r="N193" i="15"/>
  <c r="AE192" i="15"/>
  <c r="AD192" i="15"/>
  <c r="AC192" i="15"/>
  <c r="O192" i="15"/>
  <c r="N192" i="15"/>
  <c r="AE191" i="15"/>
  <c r="AD191" i="15"/>
  <c r="AB191" i="15"/>
  <c r="AA191" i="15"/>
  <c r="Z191" i="15"/>
  <c r="Y191" i="15"/>
  <c r="X191" i="15"/>
  <c r="W191" i="15"/>
  <c r="O191" i="15"/>
  <c r="N191" i="15"/>
  <c r="AE190" i="15"/>
  <c r="AD190" i="15"/>
  <c r="AC190" i="15"/>
  <c r="O190" i="15"/>
  <c r="N190" i="15"/>
  <c r="AE189" i="15"/>
  <c r="AD189" i="15"/>
  <c r="AC189" i="15"/>
  <c r="O189" i="15"/>
  <c r="N189" i="15"/>
  <c r="AE188" i="15"/>
  <c r="AD188" i="15"/>
  <c r="AC188" i="15"/>
  <c r="O188" i="15"/>
  <c r="N188" i="15"/>
  <c r="AE187" i="15"/>
  <c r="AD187" i="15"/>
  <c r="AC187" i="15"/>
  <c r="O187" i="15"/>
  <c r="N187" i="15"/>
  <c r="AE186" i="15"/>
  <c r="AD186" i="15"/>
  <c r="AC186" i="15"/>
  <c r="O186" i="15"/>
  <c r="N186" i="15"/>
  <c r="AE185" i="15"/>
  <c r="AD185" i="15"/>
  <c r="AC185" i="15"/>
  <c r="O185" i="15"/>
  <c r="N185" i="15"/>
  <c r="AE184" i="15"/>
  <c r="AD184" i="15"/>
  <c r="AC184" i="15"/>
  <c r="O184" i="15"/>
  <c r="N184" i="15"/>
  <c r="AE183" i="15"/>
  <c r="AD183" i="15"/>
  <c r="AC183" i="15"/>
  <c r="O183" i="15"/>
  <c r="N183" i="15"/>
  <c r="AE182" i="15"/>
  <c r="AD182" i="15"/>
  <c r="AC182" i="15"/>
  <c r="O182" i="15"/>
  <c r="N182" i="15"/>
  <c r="AE181" i="15"/>
  <c r="AD181" i="15"/>
  <c r="AB181" i="15"/>
  <c r="AA181" i="15"/>
  <c r="Z181" i="15"/>
  <c r="Y181" i="15"/>
  <c r="X181" i="15"/>
  <c r="W181" i="15"/>
  <c r="O181" i="15"/>
  <c r="N181" i="15"/>
  <c r="AE180" i="15"/>
  <c r="AD180" i="15"/>
  <c r="AC180" i="15"/>
  <c r="O180" i="15"/>
  <c r="N180" i="15"/>
  <c r="AE179" i="15"/>
  <c r="AD179" i="15"/>
  <c r="AC179" i="15"/>
  <c r="O179" i="15"/>
  <c r="N179" i="15"/>
  <c r="AE178" i="15"/>
  <c r="AD178" i="15"/>
  <c r="AC178" i="15"/>
  <c r="O178" i="15"/>
  <c r="N178" i="15"/>
  <c r="AE177" i="15"/>
  <c r="AD177" i="15"/>
  <c r="AC177" i="15"/>
  <c r="O177" i="15"/>
  <c r="N177" i="15"/>
  <c r="AE176" i="15"/>
  <c r="AD176" i="15"/>
  <c r="AC176" i="15"/>
  <c r="O176" i="15"/>
  <c r="N176" i="15"/>
  <c r="AE175" i="15"/>
  <c r="AD175" i="15"/>
  <c r="AC175" i="15"/>
  <c r="O175" i="15"/>
  <c r="N175" i="15"/>
  <c r="AE174" i="15"/>
  <c r="AD174" i="15"/>
  <c r="AC174" i="15"/>
  <c r="O174" i="15"/>
  <c r="N174" i="15"/>
  <c r="AE173" i="15"/>
  <c r="AD173" i="15"/>
  <c r="AC173" i="15"/>
  <c r="O173" i="15"/>
  <c r="N173" i="15"/>
  <c r="AE172" i="15"/>
  <c r="AD172" i="15"/>
  <c r="AC172" i="15"/>
  <c r="O172" i="15"/>
  <c r="N172" i="15"/>
  <c r="AE171" i="15"/>
  <c r="AD171" i="15"/>
  <c r="AB171" i="15"/>
  <c r="AA171" i="15"/>
  <c r="Z171" i="15"/>
  <c r="Y171" i="15"/>
  <c r="X171" i="15"/>
  <c r="W171" i="15"/>
  <c r="O171" i="15"/>
  <c r="N171" i="15"/>
  <c r="AE170" i="15"/>
  <c r="AD170" i="15"/>
  <c r="AC170" i="15"/>
  <c r="O170" i="15"/>
  <c r="N170" i="15"/>
  <c r="AE169" i="15"/>
  <c r="AD169" i="15"/>
  <c r="AC169" i="15"/>
  <c r="O169" i="15"/>
  <c r="N169" i="15"/>
  <c r="AE168" i="15"/>
  <c r="AD168" i="15"/>
  <c r="AC168" i="15"/>
  <c r="O168" i="15"/>
  <c r="N168" i="15"/>
  <c r="AE167" i="15"/>
  <c r="AD167" i="15"/>
  <c r="AC167" i="15"/>
  <c r="O167" i="15"/>
  <c r="N167" i="15"/>
  <c r="AE166" i="15"/>
  <c r="AD166" i="15"/>
  <c r="AC166" i="15"/>
  <c r="O166" i="15"/>
  <c r="N166" i="15"/>
  <c r="AE165" i="15"/>
  <c r="AD165" i="15"/>
  <c r="AC165" i="15"/>
  <c r="O165" i="15"/>
  <c r="N165" i="15"/>
  <c r="AE164" i="15"/>
  <c r="AD164" i="15"/>
  <c r="AC164" i="15"/>
  <c r="O164" i="15"/>
  <c r="N164" i="15"/>
  <c r="AE163" i="15"/>
  <c r="AD163" i="15"/>
  <c r="AC163" i="15"/>
  <c r="O163" i="15"/>
  <c r="N163" i="15"/>
  <c r="AE162" i="15"/>
  <c r="AD162" i="15"/>
  <c r="AC162" i="15"/>
  <c r="O162" i="15"/>
  <c r="N162" i="15"/>
  <c r="AE161" i="15"/>
  <c r="AD161" i="15"/>
  <c r="AB161" i="15"/>
  <c r="AA161" i="15"/>
  <c r="Z161" i="15"/>
  <c r="Y161" i="15"/>
  <c r="X161" i="15"/>
  <c r="W161" i="15"/>
  <c r="O161" i="15"/>
  <c r="N161" i="15"/>
  <c r="AE160" i="15"/>
  <c r="AD160" i="15"/>
  <c r="AC160" i="15"/>
  <c r="O160" i="15"/>
  <c r="N160" i="15"/>
  <c r="AE159" i="15"/>
  <c r="AD159" i="15"/>
  <c r="AC159" i="15"/>
  <c r="O159" i="15"/>
  <c r="N159" i="15"/>
  <c r="AE158" i="15"/>
  <c r="AD158" i="15"/>
  <c r="AC158" i="15"/>
  <c r="O158" i="15"/>
  <c r="N158" i="15"/>
  <c r="AE157" i="15"/>
  <c r="AD157" i="15"/>
  <c r="AC157" i="15"/>
  <c r="O157" i="15"/>
  <c r="N157" i="15"/>
  <c r="AE156" i="15"/>
  <c r="AD156" i="15"/>
  <c r="AC156" i="15"/>
  <c r="O156" i="15"/>
  <c r="N156" i="15"/>
  <c r="AE155" i="15"/>
  <c r="AD155" i="15"/>
  <c r="AC155" i="15"/>
  <c r="O155" i="15"/>
  <c r="N155" i="15"/>
  <c r="AE154" i="15"/>
  <c r="AD154" i="15"/>
  <c r="AC154" i="15"/>
  <c r="O154" i="15"/>
  <c r="N154" i="15"/>
  <c r="AE153" i="15"/>
  <c r="AD153" i="15"/>
  <c r="AC153" i="15"/>
  <c r="O153" i="15"/>
  <c r="N153" i="15"/>
  <c r="AE152" i="15"/>
  <c r="AD152" i="15"/>
  <c r="AC152" i="15"/>
  <c r="O152" i="15"/>
  <c r="N152" i="15"/>
  <c r="AE151" i="15"/>
  <c r="AD151" i="15"/>
  <c r="AB151" i="15"/>
  <c r="AA151" i="15"/>
  <c r="Z151" i="15"/>
  <c r="Y151" i="15"/>
  <c r="X151" i="15"/>
  <c r="W151" i="15"/>
  <c r="O151" i="15"/>
  <c r="N151" i="15"/>
  <c r="AE150" i="15"/>
  <c r="AD150" i="15"/>
  <c r="AC150" i="15"/>
  <c r="O150" i="15"/>
  <c r="N150" i="15"/>
  <c r="AE149" i="15"/>
  <c r="AD149" i="15"/>
  <c r="AC149" i="15"/>
  <c r="O149" i="15"/>
  <c r="N149" i="15"/>
  <c r="AE148" i="15"/>
  <c r="AD148" i="15"/>
  <c r="AC148" i="15"/>
  <c r="O148" i="15"/>
  <c r="N148" i="15"/>
  <c r="AE147" i="15"/>
  <c r="AD147" i="15"/>
  <c r="AC147" i="15"/>
  <c r="O147" i="15"/>
  <c r="N147" i="15"/>
  <c r="AE146" i="15"/>
  <c r="AD146" i="15"/>
  <c r="AC146" i="15"/>
  <c r="O146" i="15"/>
  <c r="N146" i="15"/>
  <c r="AE145" i="15"/>
  <c r="AD145" i="15"/>
  <c r="AC145" i="15"/>
  <c r="O145" i="15"/>
  <c r="N145" i="15"/>
  <c r="AE144" i="15"/>
  <c r="AD144" i="15"/>
  <c r="AC144" i="15"/>
  <c r="O144" i="15"/>
  <c r="N144" i="15"/>
  <c r="AE143" i="15"/>
  <c r="AD143" i="15"/>
  <c r="AC143" i="15"/>
  <c r="O143" i="15"/>
  <c r="N143" i="15"/>
  <c r="AE142" i="15"/>
  <c r="AD142" i="15"/>
  <c r="AC142" i="15"/>
  <c r="O142" i="15"/>
  <c r="N142" i="15"/>
  <c r="AE141" i="15"/>
  <c r="AD141" i="15"/>
  <c r="AB141" i="15"/>
  <c r="AA141" i="15"/>
  <c r="Z141" i="15"/>
  <c r="Y141" i="15"/>
  <c r="X141" i="15"/>
  <c r="W141" i="15"/>
  <c r="O141" i="15"/>
  <c r="N141" i="15"/>
  <c r="AE140" i="15"/>
  <c r="AD140" i="15"/>
  <c r="AC140" i="15"/>
  <c r="O140" i="15"/>
  <c r="N140" i="15"/>
  <c r="AE139" i="15"/>
  <c r="AD139" i="15"/>
  <c r="AC139" i="15"/>
  <c r="O139" i="15"/>
  <c r="N139" i="15"/>
  <c r="AE138" i="15"/>
  <c r="AD138" i="15"/>
  <c r="AC138" i="15"/>
  <c r="O138" i="15"/>
  <c r="N138" i="15"/>
  <c r="AE137" i="15"/>
  <c r="AD137" i="15"/>
  <c r="AC137" i="15"/>
  <c r="O137" i="15"/>
  <c r="N137" i="15"/>
  <c r="AE136" i="15"/>
  <c r="AD136" i="15"/>
  <c r="AC136" i="15"/>
  <c r="O136" i="15"/>
  <c r="N136" i="15"/>
  <c r="AE135" i="15"/>
  <c r="AD135" i="15"/>
  <c r="AC135" i="15"/>
  <c r="O135" i="15"/>
  <c r="N135" i="15"/>
  <c r="AE134" i="15"/>
  <c r="AD134" i="15"/>
  <c r="AC134" i="15"/>
  <c r="O134" i="15"/>
  <c r="N134" i="15"/>
  <c r="AE133" i="15"/>
  <c r="AD133" i="15"/>
  <c r="AC133" i="15"/>
  <c r="O133" i="15"/>
  <c r="N133" i="15"/>
  <c r="AE132" i="15"/>
  <c r="AD132" i="15"/>
  <c r="AC132" i="15"/>
  <c r="O132" i="15"/>
  <c r="N132" i="15"/>
  <c r="AE131" i="15"/>
  <c r="AD131" i="15"/>
  <c r="AB131" i="15"/>
  <c r="AA131" i="15"/>
  <c r="Z131" i="15"/>
  <c r="Y131" i="15"/>
  <c r="X131" i="15"/>
  <c r="W131" i="15"/>
  <c r="O131" i="15"/>
  <c r="N131" i="15"/>
  <c r="AE130" i="15"/>
  <c r="AD130" i="15"/>
  <c r="AC130" i="15"/>
  <c r="O130" i="15"/>
  <c r="N130" i="15"/>
  <c r="AE129" i="15"/>
  <c r="AD129" i="15"/>
  <c r="AC129" i="15"/>
  <c r="O129" i="15"/>
  <c r="N129" i="15"/>
  <c r="AE128" i="15"/>
  <c r="AD128" i="15"/>
  <c r="AC128" i="15"/>
  <c r="O128" i="15"/>
  <c r="N128" i="15"/>
  <c r="AE127" i="15"/>
  <c r="AD127" i="15"/>
  <c r="AC127" i="15"/>
  <c r="O127" i="15"/>
  <c r="N127" i="15"/>
  <c r="AE126" i="15"/>
  <c r="AD126" i="15"/>
  <c r="AC126" i="15"/>
  <c r="O126" i="15"/>
  <c r="N126" i="15"/>
  <c r="AE125" i="15"/>
  <c r="AD125" i="15"/>
  <c r="AC125" i="15"/>
  <c r="O125" i="15"/>
  <c r="N125" i="15"/>
  <c r="AE124" i="15"/>
  <c r="AD124" i="15"/>
  <c r="AC124" i="15"/>
  <c r="O124" i="15"/>
  <c r="N124" i="15"/>
  <c r="AE123" i="15"/>
  <c r="AD123" i="15"/>
  <c r="AC123" i="15"/>
  <c r="O123" i="15"/>
  <c r="N123" i="15"/>
  <c r="AE122" i="15"/>
  <c r="AD122" i="15"/>
  <c r="AC122" i="15"/>
  <c r="O122" i="15"/>
  <c r="N122" i="15"/>
  <c r="AE121" i="15"/>
  <c r="AD121" i="15"/>
  <c r="AB121" i="15"/>
  <c r="AA121" i="15"/>
  <c r="Z121" i="15"/>
  <c r="Y121" i="15"/>
  <c r="X121" i="15"/>
  <c r="W121" i="15"/>
  <c r="O121" i="15"/>
  <c r="N121" i="15"/>
  <c r="AE120" i="15"/>
  <c r="AD120" i="15"/>
  <c r="AC120" i="15"/>
  <c r="O120" i="15"/>
  <c r="N120" i="15"/>
  <c r="AE119" i="15"/>
  <c r="AD119" i="15"/>
  <c r="AC119" i="15"/>
  <c r="O119" i="15"/>
  <c r="N119" i="15"/>
  <c r="AE118" i="15"/>
  <c r="AD118" i="15"/>
  <c r="AC118" i="15"/>
  <c r="O118" i="15"/>
  <c r="N118" i="15"/>
  <c r="AE117" i="15"/>
  <c r="AD117" i="15"/>
  <c r="AC117" i="15"/>
  <c r="O117" i="15"/>
  <c r="N117" i="15"/>
  <c r="AE116" i="15"/>
  <c r="AD116" i="15"/>
  <c r="AC116" i="15"/>
  <c r="O116" i="15"/>
  <c r="N116" i="15"/>
  <c r="AE115" i="15"/>
  <c r="AD115" i="15"/>
  <c r="AC115" i="15"/>
  <c r="O115" i="15"/>
  <c r="N115" i="15"/>
  <c r="AE114" i="15"/>
  <c r="AD114" i="15"/>
  <c r="AC114" i="15"/>
  <c r="O114" i="15"/>
  <c r="N114" i="15"/>
  <c r="AE113" i="15"/>
  <c r="AD113" i="15"/>
  <c r="AC113" i="15"/>
  <c r="O113" i="15"/>
  <c r="N113" i="15"/>
  <c r="AE112" i="15"/>
  <c r="AD112" i="15"/>
  <c r="AC112" i="15"/>
  <c r="O112" i="15"/>
  <c r="N112" i="15"/>
  <c r="AE111" i="15"/>
  <c r="AD111" i="15"/>
  <c r="AB111" i="15"/>
  <c r="AA111" i="15"/>
  <c r="Z111" i="15"/>
  <c r="Y111" i="15"/>
  <c r="X111" i="15"/>
  <c r="W111" i="15"/>
  <c r="O111" i="15"/>
  <c r="N111" i="15"/>
  <c r="AE110" i="15"/>
  <c r="AD110" i="15"/>
  <c r="AC110" i="15"/>
  <c r="O110" i="15"/>
  <c r="N110" i="15"/>
  <c r="AE109" i="15"/>
  <c r="AD109" i="15"/>
  <c r="AC109" i="15"/>
  <c r="O109" i="15"/>
  <c r="N109" i="15"/>
  <c r="AE108" i="15"/>
  <c r="AD108" i="15"/>
  <c r="AC108" i="15"/>
  <c r="O108" i="15"/>
  <c r="N108" i="15"/>
  <c r="AE107" i="15"/>
  <c r="AD107" i="15"/>
  <c r="AC107" i="15"/>
  <c r="O107" i="15"/>
  <c r="N107" i="15"/>
  <c r="AE106" i="15"/>
  <c r="AD106" i="15"/>
  <c r="AC106" i="15"/>
  <c r="O106" i="15"/>
  <c r="N106" i="15"/>
  <c r="AE105" i="15"/>
  <c r="AD105" i="15"/>
  <c r="AC105" i="15"/>
  <c r="O105" i="15"/>
  <c r="N105" i="15"/>
  <c r="AE104" i="15"/>
  <c r="AD104" i="15"/>
  <c r="AC104" i="15"/>
  <c r="O104" i="15"/>
  <c r="N104" i="15"/>
  <c r="AE103" i="15"/>
  <c r="AD103" i="15"/>
  <c r="AC103" i="15"/>
  <c r="O103" i="15"/>
  <c r="N103" i="15"/>
  <c r="AE102" i="15"/>
  <c r="AD102" i="15"/>
  <c r="AC102" i="15"/>
  <c r="O102" i="15"/>
  <c r="N102" i="15"/>
  <c r="AE101" i="15"/>
  <c r="AD101" i="15"/>
  <c r="AB101" i="15"/>
  <c r="AA101" i="15"/>
  <c r="Z101" i="15"/>
  <c r="Y101" i="15"/>
  <c r="X101" i="15"/>
  <c r="W101" i="15"/>
  <c r="O101" i="15"/>
  <c r="N101" i="15"/>
  <c r="AE100" i="15"/>
  <c r="AD100" i="15"/>
  <c r="AC100" i="15"/>
  <c r="O100" i="15"/>
  <c r="N100" i="15"/>
  <c r="AE99" i="15"/>
  <c r="AD99" i="15"/>
  <c r="AC99" i="15"/>
  <c r="O99" i="15"/>
  <c r="N99" i="15"/>
  <c r="AE98" i="15"/>
  <c r="AD98" i="15"/>
  <c r="AC98" i="15"/>
  <c r="O98" i="15"/>
  <c r="N98" i="15"/>
  <c r="AE97" i="15"/>
  <c r="AD97" i="15"/>
  <c r="AC97" i="15"/>
  <c r="O97" i="15"/>
  <c r="N97" i="15"/>
  <c r="AE96" i="15"/>
  <c r="AD96" i="15"/>
  <c r="AC96" i="15"/>
  <c r="O96" i="15"/>
  <c r="N96" i="15"/>
  <c r="AE95" i="15"/>
  <c r="AD95" i="15"/>
  <c r="AC95" i="15"/>
  <c r="O95" i="15"/>
  <c r="N95" i="15"/>
  <c r="AE94" i="15"/>
  <c r="AD94" i="15"/>
  <c r="AC94" i="15"/>
  <c r="O94" i="15"/>
  <c r="N94" i="15"/>
  <c r="AE93" i="15"/>
  <c r="AD93" i="15"/>
  <c r="AC93" i="15"/>
  <c r="O93" i="15"/>
  <c r="N93" i="15"/>
  <c r="AE92" i="15"/>
  <c r="AD92" i="15"/>
  <c r="AC92" i="15"/>
  <c r="O92" i="15"/>
  <c r="N92" i="15"/>
  <c r="AE91" i="15"/>
  <c r="AD91" i="15"/>
  <c r="AB91" i="15"/>
  <c r="AA91" i="15"/>
  <c r="Z91" i="15"/>
  <c r="Y91" i="15"/>
  <c r="X91" i="15"/>
  <c r="W91" i="15"/>
  <c r="O91" i="15"/>
  <c r="N91" i="15"/>
  <c r="AE90" i="15"/>
  <c r="AD90" i="15"/>
  <c r="AC90" i="15"/>
  <c r="O90" i="15"/>
  <c r="N90" i="15"/>
  <c r="AE89" i="15"/>
  <c r="AD89" i="15"/>
  <c r="AC89" i="15"/>
  <c r="O89" i="15"/>
  <c r="N89" i="15"/>
  <c r="AE88" i="15"/>
  <c r="AD88" i="15"/>
  <c r="AC88" i="15"/>
  <c r="O88" i="15"/>
  <c r="N88" i="15"/>
  <c r="AE87" i="15"/>
  <c r="AD87" i="15"/>
  <c r="AC87" i="15"/>
  <c r="O87" i="15"/>
  <c r="N87" i="15"/>
  <c r="AE86" i="15"/>
  <c r="AD86" i="15"/>
  <c r="AC86" i="15"/>
  <c r="O86" i="15"/>
  <c r="N86" i="15"/>
  <c r="AE85" i="15"/>
  <c r="AD85" i="15"/>
  <c r="AC85" i="15"/>
  <c r="O85" i="15"/>
  <c r="N85" i="15"/>
  <c r="AE84" i="15"/>
  <c r="AD84" i="15"/>
  <c r="AC84" i="15"/>
  <c r="O84" i="15"/>
  <c r="N84" i="15"/>
  <c r="AE83" i="15"/>
  <c r="AD83" i="15"/>
  <c r="AC83" i="15"/>
  <c r="O83" i="15"/>
  <c r="N83" i="15"/>
  <c r="AE82" i="15"/>
  <c r="AD82" i="15"/>
  <c r="AC82" i="15"/>
  <c r="O82" i="15"/>
  <c r="N82" i="15"/>
  <c r="AE81" i="15"/>
  <c r="AD81" i="15"/>
  <c r="AB81" i="15"/>
  <c r="AA81" i="15"/>
  <c r="Z81" i="15"/>
  <c r="Y81" i="15"/>
  <c r="X81" i="15"/>
  <c r="W81" i="15"/>
  <c r="O81" i="15"/>
  <c r="N81" i="15"/>
  <c r="AE80" i="15"/>
  <c r="AD80" i="15"/>
  <c r="AC80" i="15"/>
  <c r="O80" i="15"/>
  <c r="N80" i="15"/>
  <c r="AE79" i="15"/>
  <c r="AD79" i="15"/>
  <c r="AC79" i="15"/>
  <c r="O79" i="15"/>
  <c r="N79" i="15"/>
  <c r="AE78" i="15"/>
  <c r="AD78" i="15"/>
  <c r="AC78" i="15"/>
  <c r="O78" i="15"/>
  <c r="N78" i="15"/>
  <c r="AE77" i="15"/>
  <c r="AD77" i="15"/>
  <c r="AC77" i="15"/>
  <c r="O77" i="15"/>
  <c r="N77" i="15"/>
  <c r="AE76" i="15"/>
  <c r="AD76" i="15"/>
  <c r="AC76" i="15"/>
  <c r="O76" i="15"/>
  <c r="N76" i="15"/>
  <c r="AE75" i="15"/>
  <c r="AD75" i="15"/>
  <c r="AC75" i="15"/>
  <c r="O75" i="15"/>
  <c r="N75" i="15"/>
  <c r="AE74" i="15"/>
  <c r="AD74" i="15"/>
  <c r="AC74" i="15"/>
  <c r="O74" i="15"/>
  <c r="N74" i="15"/>
  <c r="AE73" i="15"/>
  <c r="AD73" i="15"/>
  <c r="AC73" i="15"/>
  <c r="O73" i="15"/>
  <c r="N73" i="15"/>
  <c r="AE72" i="15"/>
  <c r="AD72" i="15"/>
  <c r="AC72" i="15"/>
  <c r="O72" i="15"/>
  <c r="N72" i="15"/>
  <c r="AB71" i="15"/>
  <c r="AA71" i="15"/>
  <c r="Z71" i="15"/>
  <c r="Y71" i="15"/>
  <c r="X71" i="15"/>
  <c r="W71" i="15"/>
  <c r="O71" i="15"/>
  <c r="N71" i="15"/>
  <c r="AC70" i="15"/>
  <c r="O70" i="15"/>
  <c r="N70" i="15"/>
  <c r="AC69" i="15"/>
  <c r="O69" i="15"/>
  <c r="N69" i="15"/>
  <c r="AC68" i="15"/>
  <c r="O68" i="15"/>
  <c r="N68" i="15"/>
  <c r="AC67" i="15"/>
  <c r="O67" i="15"/>
  <c r="N67" i="15"/>
  <c r="AC66" i="15"/>
  <c r="O66" i="15"/>
  <c r="N66" i="15"/>
  <c r="AC65" i="15"/>
  <c r="O65" i="15"/>
  <c r="N65" i="15"/>
  <c r="AC64" i="15"/>
  <c r="O64" i="15"/>
  <c r="N64" i="15"/>
  <c r="AC63" i="15"/>
  <c r="O63" i="15"/>
  <c r="N63" i="15"/>
  <c r="AC62" i="15"/>
  <c r="O62" i="15"/>
  <c r="N62" i="15"/>
  <c r="AB61" i="15"/>
  <c r="AA61" i="15"/>
  <c r="Z61" i="15"/>
  <c r="Y61" i="15"/>
  <c r="X61" i="15"/>
  <c r="W61" i="15"/>
  <c r="O61" i="15"/>
  <c r="N61" i="15"/>
  <c r="AC60" i="15"/>
  <c r="O60" i="15"/>
  <c r="N60" i="15"/>
  <c r="AC59" i="15"/>
  <c r="O59" i="15"/>
  <c r="N59" i="15"/>
  <c r="AC58" i="15"/>
  <c r="O58" i="15"/>
  <c r="N58" i="15"/>
  <c r="AC57" i="15"/>
  <c r="O57" i="15"/>
  <c r="N57" i="15"/>
  <c r="AC56" i="15"/>
  <c r="O56" i="15"/>
  <c r="N56" i="15"/>
  <c r="AC55" i="15"/>
  <c r="O55" i="15"/>
  <c r="N55" i="15"/>
  <c r="AC54" i="15"/>
  <c r="O54" i="15"/>
  <c r="N54" i="15"/>
  <c r="AC53" i="15"/>
  <c r="O53" i="15"/>
  <c r="N53" i="15"/>
  <c r="AC52" i="15"/>
  <c r="O52" i="15"/>
  <c r="N52" i="15"/>
  <c r="AE51" i="15"/>
  <c r="AD51" i="15"/>
  <c r="AB51" i="15"/>
  <c r="AA51" i="15"/>
  <c r="Z51" i="15"/>
  <c r="Y51" i="15"/>
  <c r="X51" i="15"/>
  <c r="W51" i="15"/>
  <c r="O51" i="15"/>
  <c r="N51" i="15"/>
  <c r="AC50" i="15"/>
  <c r="O50" i="15"/>
  <c r="N50" i="15"/>
  <c r="AC49" i="15"/>
  <c r="O49" i="15"/>
  <c r="N49" i="15"/>
  <c r="AC48" i="15"/>
  <c r="O48" i="15"/>
  <c r="N48" i="15"/>
  <c r="AC47" i="15"/>
  <c r="O47" i="15"/>
  <c r="N47" i="15"/>
  <c r="AC46" i="15"/>
  <c r="O46" i="15"/>
  <c r="N46" i="15"/>
  <c r="AC45" i="15"/>
  <c r="O45" i="15"/>
  <c r="N45" i="15"/>
  <c r="AC44" i="15"/>
  <c r="O44" i="15"/>
  <c r="N44" i="15"/>
  <c r="AC43" i="15"/>
  <c r="O43" i="15"/>
  <c r="N43" i="15"/>
  <c r="AC42" i="15"/>
  <c r="O42" i="15"/>
  <c r="N42" i="15"/>
  <c r="AE41" i="15"/>
  <c r="AD41" i="15"/>
  <c r="AB41" i="15"/>
  <c r="AA41" i="15"/>
  <c r="Z41" i="15"/>
  <c r="Y41" i="15"/>
  <c r="X41" i="15"/>
  <c r="W41" i="15"/>
  <c r="O41" i="15"/>
  <c r="N41" i="15"/>
  <c r="AE40" i="15"/>
  <c r="AD40" i="15"/>
  <c r="AC40" i="15"/>
  <c r="O40" i="15"/>
  <c r="N40" i="15"/>
  <c r="AE39" i="15"/>
  <c r="AD39" i="15"/>
  <c r="AC39" i="15"/>
  <c r="O39" i="15"/>
  <c r="N39" i="15"/>
  <c r="AE38" i="15"/>
  <c r="AD38" i="15"/>
  <c r="AC38" i="15"/>
  <c r="O38" i="15"/>
  <c r="N38" i="15"/>
  <c r="AE37" i="15"/>
  <c r="AD37" i="15"/>
  <c r="AC37" i="15"/>
  <c r="O37" i="15"/>
  <c r="N37" i="15"/>
  <c r="AE36" i="15"/>
  <c r="AD36" i="15"/>
  <c r="AC36" i="15"/>
  <c r="O36" i="15"/>
  <c r="N36" i="15"/>
  <c r="AE35" i="15"/>
  <c r="AD35" i="15"/>
  <c r="AC35" i="15"/>
  <c r="O35" i="15"/>
  <c r="N35" i="15"/>
  <c r="AE34" i="15"/>
  <c r="AD34" i="15"/>
  <c r="AC34" i="15"/>
  <c r="O34" i="15"/>
  <c r="N34" i="15"/>
  <c r="AE33" i="15"/>
  <c r="AD33" i="15"/>
  <c r="AC33" i="15"/>
  <c r="O33" i="15"/>
  <c r="N33" i="15"/>
  <c r="AE32" i="15"/>
  <c r="AD32" i="15"/>
  <c r="AC32" i="15"/>
  <c r="O32" i="15"/>
  <c r="N32" i="15"/>
  <c r="AE31" i="15"/>
  <c r="AD31" i="15"/>
  <c r="AB31" i="15"/>
  <c r="AA31" i="15"/>
  <c r="Z31" i="15"/>
  <c r="Y31" i="15"/>
  <c r="X31" i="15"/>
  <c r="W31" i="15"/>
  <c r="O31" i="15"/>
  <c r="N31" i="15"/>
  <c r="AE30" i="15"/>
  <c r="AD30" i="15"/>
  <c r="AC30" i="15"/>
  <c r="O30" i="15"/>
  <c r="N30" i="15"/>
  <c r="AE29" i="15"/>
  <c r="AD29" i="15"/>
  <c r="AC29" i="15"/>
  <c r="O29" i="15"/>
  <c r="N29" i="15"/>
  <c r="AE28" i="15"/>
  <c r="AD28" i="15"/>
  <c r="AC28" i="15"/>
  <c r="O28" i="15"/>
  <c r="N28" i="15"/>
  <c r="AE27" i="15"/>
  <c r="AD27" i="15"/>
  <c r="AC27" i="15"/>
  <c r="O27" i="15"/>
  <c r="N27" i="15"/>
  <c r="AE26" i="15"/>
  <c r="AD26" i="15"/>
  <c r="AC26" i="15"/>
  <c r="O26" i="15"/>
  <c r="N26" i="15"/>
  <c r="AE25" i="15"/>
  <c r="AD25" i="15"/>
  <c r="AC25" i="15"/>
  <c r="O25" i="15"/>
  <c r="N25" i="15"/>
  <c r="AE24" i="15"/>
  <c r="AD24" i="15"/>
  <c r="AC24" i="15"/>
  <c r="O24" i="15"/>
  <c r="N24" i="15"/>
  <c r="AE23" i="15"/>
  <c r="AD23" i="15"/>
  <c r="AC23" i="15"/>
  <c r="O23" i="15"/>
  <c r="N23" i="15"/>
  <c r="AE22" i="15"/>
  <c r="AD22" i="15"/>
  <c r="AC22" i="15"/>
  <c r="O22" i="15"/>
  <c r="N22" i="15"/>
  <c r="AB21" i="15"/>
  <c r="AA21" i="15"/>
  <c r="Z21" i="15"/>
  <c r="Y21" i="15"/>
  <c r="X21" i="15"/>
  <c r="W21" i="15"/>
  <c r="O21" i="15"/>
  <c r="N21" i="15"/>
  <c r="AC20" i="15"/>
  <c r="O20" i="15"/>
  <c r="N20" i="15"/>
  <c r="AC19" i="15"/>
  <c r="O19" i="15"/>
  <c r="N19" i="15"/>
  <c r="AC18" i="15"/>
  <c r="O18" i="15"/>
  <c r="N18" i="15"/>
  <c r="AC17" i="15"/>
  <c r="O17" i="15"/>
  <c r="N17" i="15"/>
  <c r="AC16" i="15"/>
  <c r="O16" i="15"/>
  <c r="N16" i="15"/>
  <c r="AC15" i="15"/>
  <c r="O15" i="15"/>
  <c r="N15" i="15"/>
  <c r="AC14" i="15"/>
  <c r="O14" i="15"/>
  <c r="N14" i="15"/>
  <c r="AC13" i="15"/>
  <c r="O13" i="15"/>
  <c r="N13" i="15"/>
  <c r="AC12" i="15"/>
  <c r="O12" i="15"/>
  <c r="N12" i="15"/>
  <c r="AB11" i="15"/>
  <c r="AA11" i="15"/>
  <c r="Z11" i="15"/>
  <c r="Y11" i="15"/>
  <c r="X11" i="15"/>
  <c r="W11" i="15"/>
  <c r="O11" i="15"/>
  <c r="N11" i="15"/>
  <c r="AC10" i="15"/>
  <c r="O10" i="15"/>
  <c r="N10" i="15"/>
  <c r="AC9" i="15"/>
  <c r="O9" i="15"/>
  <c r="N9" i="15"/>
  <c r="AC8" i="15"/>
  <c r="O8" i="15"/>
  <c r="N8" i="15"/>
  <c r="AC7" i="15"/>
  <c r="O7" i="15"/>
  <c r="N7" i="15"/>
  <c r="AC6" i="15"/>
  <c r="O6" i="15"/>
  <c r="N6" i="15"/>
  <c r="AC5" i="15"/>
  <c r="O5" i="15"/>
  <c r="N5" i="15"/>
  <c r="AC4" i="15"/>
  <c r="O4" i="15"/>
  <c r="N4" i="15"/>
  <c r="AC3" i="15"/>
  <c r="O3" i="15"/>
  <c r="N3" i="15"/>
  <c r="AC2" i="15"/>
  <c r="O2" i="15"/>
  <c r="N2" i="15"/>
  <c r="AC182" i="12"/>
  <c r="AC183" i="12"/>
  <c r="AC184" i="12"/>
  <c r="AC185" i="12"/>
  <c r="AC186" i="12"/>
  <c r="AC187" i="12"/>
  <c r="AC188" i="12"/>
  <c r="AC189" i="12"/>
  <c r="AC190" i="12"/>
  <c r="AC191" i="12"/>
  <c r="AC192" i="12"/>
  <c r="AC193" i="12"/>
  <c r="AC194" i="12"/>
  <c r="AC195" i="12"/>
  <c r="AC196" i="12"/>
  <c r="AC197" i="12"/>
  <c r="AC198" i="12"/>
  <c r="AC199" i="12"/>
  <c r="AC200" i="12"/>
  <c r="AD182" i="12"/>
  <c r="AD183" i="12"/>
  <c r="AD184" i="12"/>
  <c r="AD185" i="12"/>
  <c r="AD186" i="12"/>
  <c r="AD187" i="12"/>
  <c r="AD188" i="12"/>
  <c r="AD189" i="12"/>
  <c r="AD190" i="12"/>
  <c r="AD191" i="12"/>
  <c r="AD192" i="12"/>
  <c r="AD193" i="12"/>
  <c r="AD194" i="12"/>
  <c r="AD195" i="12"/>
  <c r="AD196" i="12"/>
  <c r="AD197" i="12"/>
  <c r="AD198" i="12"/>
  <c r="AD199" i="12"/>
  <c r="AD200" i="12"/>
  <c r="AD201" i="12"/>
  <c r="AE182" i="12"/>
  <c r="AE183" i="12"/>
  <c r="AE184" i="12"/>
  <c r="AE185" i="12"/>
  <c r="AE186" i="12"/>
  <c r="AE187" i="12"/>
  <c r="AE188" i="12"/>
  <c r="AE189" i="12"/>
  <c r="AE190" i="12"/>
  <c r="AE191" i="12"/>
  <c r="AE192" i="12"/>
  <c r="AE193" i="12"/>
  <c r="AE194" i="12"/>
  <c r="AE195" i="12"/>
  <c r="AE196" i="12"/>
  <c r="AE197" i="12"/>
  <c r="AE198" i="12"/>
  <c r="AE199" i="12"/>
  <c r="AE200" i="12"/>
  <c r="AE201" i="12"/>
  <c r="Y201" i="12"/>
  <c r="X201" i="12"/>
  <c r="W201" i="12"/>
  <c r="AC201" i="12" s="1"/>
  <c r="O201" i="12"/>
  <c r="N201" i="12"/>
  <c r="O200" i="12"/>
  <c r="N200" i="12"/>
  <c r="O199" i="12"/>
  <c r="N199" i="12"/>
  <c r="O198" i="12"/>
  <c r="N198" i="12"/>
  <c r="O197" i="12"/>
  <c r="N197" i="12"/>
  <c r="O196" i="12"/>
  <c r="N196" i="12"/>
  <c r="O195" i="12"/>
  <c r="N195" i="12"/>
  <c r="O194" i="12"/>
  <c r="N194" i="12"/>
  <c r="O193" i="12"/>
  <c r="N193" i="12"/>
  <c r="O192" i="12"/>
  <c r="N192" i="12"/>
  <c r="Y191" i="12"/>
  <c r="X191" i="12"/>
  <c r="W191" i="12"/>
  <c r="O191" i="12"/>
  <c r="N191" i="12"/>
  <c r="O190" i="12"/>
  <c r="N190" i="12"/>
  <c r="O189" i="12"/>
  <c r="N189" i="12"/>
  <c r="O188" i="12"/>
  <c r="N188" i="12"/>
  <c r="O187" i="12"/>
  <c r="N187" i="12"/>
  <c r="O186" i="12"/>
  <c r="N186" i="12"/>
  <c r="O185" i="12"/>
  <c r="N185" i="12"/>
  <c r="O184" i="12"/>
  <c r="N184" i="12"/>
  <c r="O183" i="12"/>
  <c r="N183" i="12"/>
  <c r="O182" i="12"/>
  <c r="N182" i="12"/>
  <c r="AC162" i="12"/>
  <c r="AC163" i="12"/>
  <c r="AC164" i="12"/>
  <c r="AC165" i="12"/>
  <c r="AC166" i="12"/>
  <c r="AC167" i="12"/>
  <c r="AC168" i="12"/>
  <c r="AC169" i="12"/>
  <c r="AC170" i="12"/>
  <c r="AC171" i="12"/>
  <c r="AC172" i="12"/>
  <c r="AC173" i="12"/>
  <c r="AC174" i="12"/>
  <c r="AC175" i="12"/>
  <c r="AC176" i="12"/>
  <c r="AC177" i="12"/>
  <c r="AC178" i="12"/>
  <c r="AC179" i="12"/>
  <c r="AC180" i="12"/>
  <c r="AD162" i="12"/>
  <c r="AD163" i="12"/>
  <c r="AD164" i="12"/>
  <c r="AD165" i="12"/>
  <c r="AD166" i="12"/>
  <c r="AD167" i="12"/>
  <c r="AD168" i="12"/>
  <c r="AD169" i="12"/>
  <c r="AD170" i="12"/>
  <c r="AD171" i="12"/>
  <c r="AD172" i="12"/>
  <c r="AD173" i="12"/>
  <c r="AD174" i="12"/>
  <c r="AD175" i="12"/>
  <c r="AD176" i="12"/>
  <c r="AD177" i="12"/>
  <c r="AD178" i="12"/>
  <c r="AD179" i="12"/>
  <c r="AD180" i="12"/>
  <c r="AD181" i="12"/>
  <c r="AE162" i="12"/>
  <c r="AE163" i="12"/>
  <c r="AE164" i="12"/>
  <c r="AE165" i="12"/>
  <c r="AE166" i="12"/>
  <c r="AE167" i="12"/>
  <c r="AE168" i="12"/>
  <c r="AE169" i="12"/>
  <c r="AE170" i="12"/>
  <c r="AE171" i="12"/>
  <c r="AE172" i="12"/>
  <c r="AE173" i="12"/>
  <c r="AE174" i="12"/>
  <c r="AE175" i="12"/>
  <c r="AE176" i="12"/>
  <c r="AE177" i="12"/>
  <c r="AE178" i="12"/>
  <c r="AE179" i="12"/>
  <c r="AE180" i="12"/>
  <c r="AE181" i="12"/>
  <c r="Y181" i="12"/>
  <c r="X181" i="12"/>
  <c r="W181" i="12"/>
  <c r="AC181" i="12" s="1"/>
  <c r="O181" i="12"/>
  <c r="N181" i="12"/>
  <c r="O180" i="12"/>
  <c r="N180" i="12"/>
  <c r="O179" i="12"/>
  <c r="N179" i="12"/>
  <c r="O178" i="12"/>
  <c r="N178" i="12"/>
  <c r="O177" i="12"/>
  <c r="N177" i="12"/>
  <c r="O176" i="12"/>
  <c r="N176" i="12"/>
  <c r="O175" i="12"/>
  <c r="N175" i="12"/>
  <c r="O174" i="12"/>
  <c r="N174" i="12"/>
  <c r="O173" i="12"/>
  <c r="N173" i="12"/>
  <c r="O172" i="12"/>
  <c r="N172" i="12"/>
  <c r="Y171" i="12"/>
  <c r="X171" i="12"/>
  <c r="W171" i="12"/>
  <c r="O171" i="12"/>
  <c r="N171" i="12"/>
  <c r="O170" i="12"/>
  <c r="N170" i="12"/>
  <c r="O169" i="12"/>
  <c r="N169" i="12"/>
  <c r="O168" i="12"/>
  <c r="N168" i="12"/>
  <c r="O167" i="12"/>
  <c r="N167" i="12"/>
  <c r="O166" i="12"/>
  <c r="N166" i="12"/>
  <c r="O165" i="12"/>
  <c r="N165" i="12"/>
  <c r="O164" i="12"/>
  <c r="N164" i="12"/>
  <c r="O163" i="12"/>
  <c r="N163" i="12"/>
  <c r="O162" i="12"/>
  <c r="N162" i="12"/>
  <c r="AC142" i="12"/>
  <c r="AC143" i="12"/>
  <c r="AC144" i="12"/>
  <c r="AC145" i="12"/>
  <c r="AC146" i="12"/>
  <c r="AC147" i="12"/>
  <c r="AC148" i="12"/>
  <c r="AC149" i="12"/>
  <c r="AC150" i="12"/>
  <c r="AC151" i="12"/>
  <c r="AC152" i="12"/>
  <c r="AC153" i="12"/>
  <c r="AC154" i="12"/>
  <c r="AC155" i="12"/>
  <c r="AC156" i="12"/>
  <c r="AC157" i="12"/>
  <c r="AC158" i="12"/>
  <c r="AC159" i="12"/>
  <c r="AC160" i="12"/>
  <c r="AD142" i="12"/>
  <c r="AD143" i="12"/>
  <c r="AD144" i="12"/>
  <c r="AD145" i="12"/>
  <c r="AD146" i="12"/>
  <c r="AD147" i="12"/>
  <c r="AD148" i="12"/>
  <c r="AD149" i="12"/>
  <c r="AD150" i="12"/>
  <c r="AD151" i="12"/>
  <c r="AD152" i="12"/>
  <c r="AD153" i="12"/>
  <c r="AD154" i="12"/>
  <c r="AD155" i="12"/>
  <c r="AD156" i="12"/>
  <c r="AD157" i="12"/>
  <c r="AD158" i="12"/>
  <c r="AD159" i="12"/>
  <c r="AD160" i="12"/>
  <c r="AD161" i="12"/>
  <c r="AE142" i="12"/>
  <c r="AE143" i="12"/>
  <c r="AE144" i="12"/>
  <c r="AE145" i="12"/>
  <c r="AE146" i="12"/>
  <c r="AE147" i="12"/>
  <c r="AE148" i="12"/>
  <c r="AE149" i="12"/>
  <c r="AE150" i="12"/>
  <c r="AE151" i="12"/>
  <c r="AE152" i="12"/>
  <c r="AE153" i="12"/>
  <c r="AE154" i="12"/>
  <c r="AE155" i="12"/>
  <c r="AE156" i="12"/>
  <c r="AE157" i="12"/>
  <c r="AE158" i="12"/>
  <c r="AE159" i="12"/>
  <c r="AE160" i="12"/>
  <c r="AE161" i="12"/>
  <c r="N2" i="12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O2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Y161" i="12"/>
  <c r="X161" i="12"/>
  <c r="W161" i="12"/>
  <c r="AC161" i="12" s="1"/>
  <c r="Y151" i="12"/>
  <c r="X151" i="12"/>
  <c r="W151" i="12"/>
  <c r="AB151" i="14"/>
  <c r="AE151" i="14" s="1"/>
  <c r="AA151" i="14"/>
  <c r="AD151" i="14" s="1"/>
  <c r="Z151" i="14"/>
  <c r="Y151" i="14"/>
  <c r="X151" i="14"/>
  <c r="W151" i="14"/>
  <c r="AC151" i="14" s="1"/>
  <c r="AB141" i="14"/>
  <c r="AE141" i="14" s="1"/>
  <c r="AA141" i="14"/>
  <c r="AD141" i="14" s="1"/>
  <c r="Z141" i="14"/>
  <c r="AC141" i="14" s="1"/>
  <c r="Y141" i="14"/>
  <c r="X141" i="14"/>
  <c r="W141" i="14"/>
  <c r="AB131" i="14"/>
  <c r="AE131" i="14" s="1"/>
  <c r="AA131" i="14"/>
  <c r="AD131" i="14" s="1"/>
  <c r="Z131" i="14"/>
  <c r="AC131" i="14" s="1"/>
  <c r="Y131" i="14"/>
  <c r="X131" i="14"/>
  <c r="W131" i="14"/>
  <c r="AB121" i="14"/>
  <c r="AE121" i="14" s="1"/>
  <c r="AA121" i="14"/>
  <c r="AD121" i="14" s="1"/>
  <c r="Z121" i="14"/>
  <c r="AC121" i="14" s="1"/>
  <c r="Y121" i="14"/>
  <c r="X121" i="14"/>
  <c r="W121" i="14"/>
  <c r="AB111" i="14"/>
  <c r="AE111" i="14" s="1"/>
  <c r="AA111" i="14"/>
  <c r="AD111" i="14" s="1"/>
  <c r="Z111" i="14"/>
  <c r="AC111" i="14" s="1"/>
  <c r="Y111" i="14"/>
  <c r="X111" i="14"/>
  <c r="W111" i="14"/>
  <c r="AB101" i="14"/>
  <c r="AE101" i="14" s="1"/>
  <c r="AA101" i="14"/>
  <c r="AD101" i="14" s="1"/>
  <c r="Z101" i="14"/>
  <c r="AC101" i="14" s="1"/>
  <c r="Y101" i="14"/>
  <c r="X101" i="14"/>
  <c r="W101" i="14"/>
  <c r="AB71" i="14"/>
  <c r="AE71" i="14" s="1"/>
  <c r="AA71" i="14"/>
  <c r="AD71" i="14" s="1"/>
  <c r="Z71" i="14"/>
  <c r="AC71" i="14" s="1"/>
  <c r="Y71" i="14"/>
  <c r="X71" i="14"/>
  <c r="W71" i="14"/>
  <c r="AB61" i="14"/>
  <c r="AE61" i="14" s="1"/>
  <c r="AA61" i="14"/>
  <c r="AD61" i="14" s="1"/>
  <c r="Z61" i="14"/>
  <c r="AC61" i="14" s="1"/>
  <c r="Y61" i="14"/>
  <c r="X61" i="14"/>
  <c r="W61" i="14"/>
  <c r="AC211" i="15" l="1"/>
  <c r="AC201" i="15"/>
  <c r="AC191" i="15"/>
  <c r="AC181" i="15"/>
  <c r="AC171" i="15"/>
  <c r="AC161" i="15"/>
  <c r="AC151" i="15"/>
  <c r="AC141" i="15"/>
  <c r="AC131" i="15"/>
  <c r="AC121" i="15"/>
  <c r="AC111" i="15"/>
  <c r="AC101" i="15"/>
  <c r="AC91" i="15"/>
  <c r="AC81" i="15"/>
  <c r="AE71" i="15"/>
  <c r="AD71" i="15"/>
  <c r="AC71" i="15"/>
  <c r="AE61" i="15"/>
  <c r="AD61" i="15"/>
  <c r="AC61" i="15"/>
  <c r="AC51" i="15"/>
  <c r="AC41" i="15"/>
  <c r="AC31" i="15"/>
  <c r="AE21" i="15"/>
  <c r="AD21" i="15"/>
  <c r="AC21" i="15"/>
  <c r="AE11" i="15"/>
  <c r="AD11" i="15"/>
  <c r="AC11" i="15"/>
  <c r="AE16" i="10"/>
  <c r="AB16" i="10"/>
  <c r="AA16" i="10"/>
  <c r="AD16" i="10" s="1"/>
  <c r="Z16" i="10"/>
  <c r="AC16" i="10" s="1"/>
  <c r="Y16" i="10"/>
  <c r="X16" i="10"/>
  <c r="W16" i="10"/>
  <c r="AD56" i="10"/>
  <c r="AB56" i="10"/>
  <c r="AA56" i="10"/>
  <c r="Z56" i="10"/>
  <c r="AC56" i="10" s="1"/>
  <c r="Y56" i="10"/>
  <c r="AE56" i="10" s="1"/>
  <c r="X56" i="10"/>
  <c r="W56" i="10"/>
  <c r="AB181" i="10"/>
  <c r="AE181" i="10" s="1"/>
  <c r="AA181" i="10"/>
  <c r="AD181" i="10" s="1"/>
  <c r="Z181" i="10"/>
  <c r="AC181" i="10" s="1"/>
  <c r="Y181" i="10"/>
  <c r="X181" i="10"/>
  <c r="W181" i="10"/>
  <c r="AE151" i="10"/>
  <c r="AB151" i="10"/>
  <c r="AA151" i="10"/>
  <c r="AD151" i="10" s="1"/>
  <c r="Z151" i="10"/>
  <c r="AC151" i="10" s="1"/>
  <c r="Y151" i="10"/>
  <c r="X151" i="10"/>
  <c r="W151" i="10"/>
  <c r="AB141" i="10"/>
  <c r="AE141" i="10" s="1"/>
  <c r="AA141" i="10"/>
  <c r="AD141" i="10" s="1"/>
  <c r="Z141" i="10"/>
  <c r="AC141" i="10" s="1"/>
  <c r="Y141" i="10"/>
  <c r="X141" i="10"/>
  <c r="W141" i="10"/>
  <c r="AB131" i="10"/>
  <c r="AE131" i="10" s="1"/>
  <c r="AA131" i="10"/>
  <c r="AD131" i="10" s="1"/>
  <c r="Z131" i="10"/>
  <c r="AC131" i="10" s="1"/>
  <c r="Y131" i="10"/>
  <c r="X131" i="10"/>
  <c r="W131" i="10"/>
  <c r="AB121" i="10" l="1"/>
  <c r="AE121" i="10" s="1"/>
  <c r="AA121" i="10"/>
  <c r="AD121" i="10" s="1"/>
  <c r="Z121" i="10"/>
  <c r="AC121" i="10" s="1"/>
  <c r="Y121" i="10"/>
  <c r="X121" i="10"/>
  <c r="W121" i="10"/>
  <c r="AB111" i="10"/>
  <c r="AE111" i="10" s="1"/>
  <c r="AA111" i="10"/>
  <c r="AD111" i="10" s="1"/>
  <c r="Z111" i="10"/>
  <c r="AC111" i="10" s="1"/>
  <c r="Y111" i="10"/>
  <c r="X111" i="10"/>
  <c r="W111" i="10"/>
  <c r="AB101" i="10"/>
  <c r="AE101" i="10" s="1"/>
  <c r="AA101" i="10"/>
  <c r="AD101" i="10" s="1"/>
  <c r="Z101" i="10"/>
  <c r="AC101" i="10" s="1"/>
  <c r="Y101" i="10"/>
  <c r="X101" i="10"/>
  <c r="W101" i="10"/>
  <c r="AB71" i="10"/>
  <c r="AE71" i="10" s="1"/>
  <c r="AA71" i="10"/>
  <c r="AD71" i="10" s="1"/>
  <c r="Z71" i="10"/>
  <c r="AC71" i="10" s="1"/>
  <c r="Y71" i="10"/>
  <c r="X71" i="10"/>
  <c r="W71" i="10"/>
  <c r="AB61" i="10"/>
  <c r="AE61" i="10" s="1"/>
  <c r="AA61" i="10"/>
  <c r="AD61" i="10" s="1"/>
  <c r="Z61" i="10"/>
  <c r="AC61" i="10" s="1"/>
  <c r="Y61" i="10"/>
  <c r="X61" i="10"/>
  <c r="W61" i="10"/>
  <c r="AG151" i="14" l="1"/>
  <c r="N151" i="14"/>
  <c r="O151" i="14" s="1"/>
  <c r="AG150" i="14"/>
  <c r="AE150" i="14"/>
  <c r="AD150" i="14"/>
  <c r="Z150" i="14" a="1"/>
  <c r="AC150" i="14" s="1"/>
  <c r="N150" i="14"/>
  <c r="O150" i="14" s="1"/>
  <c r="AG149" i="14"/>
  <c r="AE149" i="14"/>
  <c r="AD149" i="14"/>
  <c r="Z149" i="14" a="1"/>
  <c r="AC149" i="14" s="1"/>
  <c r="N149" i="14"/>
  <c r="O149" i="14" s="1"/>
  <c r="AG148" i="14"/>
  <c r="AE148" i="14"/>
  <c r="AD148" i="14"/>
  <c r="Z148" i="14" a="1"/>
  <c r="AC148" i="14" s="1"/>
  <c r="N148" i="14"/>
  <c r="O148" i="14" s="1"/>
  <c r="AG147" i="14"/>
  <c r="AE147" i="14"/>
  <c r="AD147" i="14"/>
  <c r="Z147" i="14" a="1"/>
  <c r="AC147" i="14" s="1"/>
  <c r="N147" i="14"/>
  <c r="O147" i="14" s="1"/>
  <c r="AG146" i="14"/>
  <c r="AE146" i="14"/>
  <c r="AD146" i="14"/>
  <c r="Z146" i="14" a="1"/>
  <c r="AC146" i="14" s="1"/>
  <c r="N146" i="14"/>
  <c r="O146" i="14" s="1"/>
  <c r="AG145" i="14"/>
  <c r="AE145" i="14"/>
  <c r="AD145" i="14"/>
  <c r="Z145" i="14" a="1"/>
  <c r="AC145" i="14" s="1"/>
  <c r="N145" i="14"/>
  <c r="O145" i="14" s="1"/>
  <c r="AG144" i="14"/>
  <c r="AE144" i="14"/>
  <c r="AD144" i="14"/>
  <c r="Z144" i="14" a="1"/>
  <c r="AC144" i="14" s="1"/>
  <c r="N144" i="14"/>
  <c r="O144" i="14" s="1"/>
  <c r="AG143" i="14"/>
  <c r="AE143" i="14"/>
  <c r="AD143" i="14"/>
  <c r="Z143" i="14" a="1"/>
  <c r="AC143" i="14" s="1"/>
  <c r="N143" i="14"/>
  <c r="O143" i="14" s="1"/>
  <c r="AG142" i="14"/>
  <c r="AE142" i="14"/>
  <c r="AD142" i="14"/>
  <c r="Z142" i="14" a="1"/>
  <c r="AC142" i="14" s="1"/>
  <c r="N142" i="14"/>
  <c r="O142" i="14" s="1"/>
  <c r="AG141" i="14"/>
  <c r="N141" i="14"/>
  <c r="O141" i="14" s="1"/>
  <c r="AG140" i="14"/>
  <c r="AE140" i="14"/>
  <c r="AD140" i="14"/>
  <c r="Z140" i="14" a="1"/>
  <c r="AC140" i="14" s="1"/>
  <c r="N140" i="14"/>
  <c r="O140" i="14" s="1"/>
  <c r="AG139" i="14"/>
  <c r="AE139" i="14"/>
  <c r="AD139" i="14"/>
  <c r="Z139" i="14" a="1"/>
  <c r="AC139" i="14" s="1"/>
  <c r="N139" i="14"/>
  <c r="O139" i="14" s="1"/>
  <c r="AG138" i="14"/>
  <c r="AE138" i="14"/>
  <c r="AD138" i="14"/>
  <c r="Z138" i="14" a="1"/>
  <c r="AC138" i="14" s="1"/>
  <c r="N138" i="14"/>
  <c r="O138" i="14" s="1"/>
  <c r="AG137" i="14"/>
  <c r="AE137" i="14"/>
  <c r="AD137" i="14"/>
  <c r="Z137" i="14" a="1"/>
  <c r="AC137" i="14" s="1"/>
  <c r="N137" i="14"/>
  <c r="O137" i="14" s="1"/>
  <c r="AG136" i="14"/>
  <c r="AE136" i="14"/>
  <c r="AD136" i="14"/>
  <c r="Z136" i="14" a="1"/>
  <c r="AC136" i="14" s="1"/>
  <c r="N136" i="14"/>
  <c r="O136" i="14" s="1"/>
  <c r="AG135" i="14"/>
  <c r="AE135" i="14"/>
  <c r="AD135" i="14"/>
  <c r="Z135" i="14" a="1"/>
  <c r="AC135" i="14" s="1"/>
  <c r="N135" i="14"/>
  <c r="O135" i="14" s="1"/>
  <c r="AG134" i="14"/>
  <c r="AE134" i="14"/>
  <c r="AD134" i="14"/>
  <c r="Z134" i="14" a="1"/>
  <c r="AC134" i="14" s="1"/>
  <c r="N134" i="14"/>
  <c r="O134" i="14" s="1"/>
  <c r="AG133" i="14"/>
  <c r="AE133" i="14"/>
  <c r="AD133" i="14"/>
  <c r="Z133" i="14" a="1"/>
  <c r="AC133" i="14" s="1"/>
  <c r="N133" i="14"/>
  <c r="O133" i="14" s="1"/>
  <c r="AG132" i="14"/>
  <c r="AE132" i="14"/>
  <c r="AD132" i="14"/>
  <c r="Z132" i="14" a="1"/>
  <c r="AC132" i="14" s="1"/>
  <c r="N132" i="14"/>
  <c r="O132" i="14" s="1"/>
  <c r="AG131" i="14"/>
  <c r="N131" i="14"/>
  <c r="O131" i="14" s="1"/>
  <c r="AG130" i="14"/>
  <c r="AE130" i="14"/>
  <c r="AD130" i="14"/>
  <c r="Z130" i="14" a="1"/>
  <c r="AC130" i="14" s="1"/>
  <c r="N130" i="14"/>
  <c r="O130" i="14" s="1"/>
  <c r="AG129" i="14"/>
  <c r="AE129" i="14"/>
  <c r="AD129" i="14"/>
  <c r="Z129" i="14" a="1"/>
  <c r="AC129" i="14" s="1"/>
  <c r="N129" i="14"/>
  <c r="O129" i="14" s="1"/>
  <c r="AG128" i="14"/>
  <c r="AE128" i="14"/>
  <c r="AD128" i="14"/>
  <c r="Z128" i="14" a="1"/>
  <c r="AC128" i="14" s="1"/>
  <c r="N128" i="14"/>
  <c r="O128" i="14" s="1"/>
  <c r="AG127" i="14"/>
  <c r="AE127" i="14"/>
  <c r="AD127" i="14"/>
  <c r="Z127" i="14" a="1"/>
  <c r="AC127" i="14" s="1"/>
  <c r="N127" i="14"/>
  <c r="O127" i="14" s="1"/>
  <c r="AG126" i="14"/>
  <c r="AE126" i="14"/>
  <c r="AD126" i="14"/>
  <c r="Z126" i="14" a="1"/>
  <c r="AC126" i="14" s="1"/>
  <c r="N126" i="14"/>
  <c r="O126" i="14" s="1"/>
  <c r="AG125" i="14"/>
  <c r="AE125" i="14"/>
  <c r="AD125" i="14"/>
  <c r="Z125" i="14" a="1"/>
  <c r="AC125" i="14" s="1"/>
  <c r="N125" i="14"/>
  <c r="O125" i="14" s="1"/>
  <c r="AG124" i="14"/>
  <c r="AE124" i="14"/>
  <c r="AD124" i="14"/>
  <c r="Z124" i="14" a="1"/>
  <c r="AC124" i="14" s="1"/>
  <c r="N124" i="14"/>
  <c r="O124" i="14" s="1"/>
  <c r="AG123" i="14"/>
  <c r="AE123" i="14"/>
  <c r="AD123" i="14"/>
  <c r="Z123" i="14" a="1"/>
  <c r="AC123" i="14" s="1"/>
  <c r="N123" i="14"/>
  <c r="O123" i="14" s="1"/>
  <c r="AG122" i="14"/>
  <c r="AE122" i="14"/>
  <c r="AD122" i="14"/>
  <c r="Z122" i="14" a="1"/>
  <c r="AC122" i="14" s="1"/>
  <c r="N122" i="14"/>
  <c r="O122" i="14" s="1"/>
  <c r="AG121" i="14"/>
  <c r="N121" i="14"/>
  <c r="O121" i="14" s="1"/>
  <c r="AG120" i="14"/>
  <c r="AE120" i="14"/>
  <c r="AD120" i="14"/>
  <c r="Z120" i="14" a="1"/>
  <c r="AC120" i="14" s="1"/>
  <c r="N120" i="14"/>
  <c r="O120" i="14" s="1"/>
  <c r="AG119" i="14"/>
  <c r="AE119" i="14"/>
  <c r="AD119" i="14"/>
  <c r="Z119" i="14" a="1"/>
  <c r="AC119" i="14" s="1"/>
  <c r="N119" i="14"/>
  <c r="O119" i="14" s="1"/>
  <c r="AG118" i="14"/>
  <c r="AE118" i="14"/>
  <c r="AD118" i="14"/>
  <c r="Z118" i="14" a="1"/>
  <c r="AC118" i="14" s="1"/>
  <c r="N118" i="14"/>
  <c r="O118" i="14" s="1"/>
  <c r="AG117" i="14"/>
  <c r="AE117" i="14"/>
  <c r="AD117" i="14"/>
  <c r="Z117" i="14" a="1"/>
  <c r="AC117" i="14" s="1"/>
  <c r="N117" i="14"/>
  <c r="O117" i="14" s="1"/>
  <c r="AG116" i="14"/>
  <c r="AE116" i="14"/>
  <c r="AD116" i="14"/>
  <c r="Z116" i="14" a="1"/>
  <c r="AC116" i="14" s="1"/>
  <c r="N116" i="14"/>
  <c r="O116" i="14" s="1"/>
  <c r="AG115" i="14"/>
  <c r="AE115" i="14"/>
  <c r="AD115" i="14"/>
  <c r="Z115" i="14" a="1"/>
  <c r="AC115" i="14" s="1"/>
  <c r="N115" i="14"/>
  <c r="O115" i="14" s="1"/>
  <c r="AG114" i="14"/>
  <c r="AE114" i="14"/>
  <c r="AD114" i="14"/>
  <c r="Z114" i="14" a="1"/>
  <c r="AC114" i="14" s="1"/>
  <c r="N114" i="14"/>
  <c r="O114" i="14" s="1"/>
  <c r="AG113" i="14"/>
  <c r="AE113" i="14"/>
  <c r="AD113" i="14"/>
  <c r="Z113" i="14" a="1"/>
  <c r="AC113" i="14" s="1"/>
  <c r="N113" i="14"/>
  <c r="O113" i="14" s="1"/>
  <c r="AG112" i="14"/>
  <c r="AE112" i="14"/>
  <c r="AD112" i="14"/>
  <c r="Z112" i="14" a="1"/>
  <c r="AC112" i="14" s="1"/>
  <c r="N112" i="14"/>
  <c r="O112" i="14" s="1"/>
  <c r="AG111" i="14"/>
  <c r="N111" i="14"/>
  <c r="O111" i="14" s="1"/>
  <c r="AG110" i="14"/>
  <c r="AE110" i="14"/>
  <c r="AD110" i="14"/>
  <c r="Z110" i="14" a="1"/>
  <c r="AC110" i="14" s="1"/>
  <c r="N110" i="14"/>
  <c r="O110" i="14" s="1"/>
  <c r="AG109" i="14"/>
  <c r="AE109" i="14"/>
  <c r="AD109" i="14"/>
  <c r="Z109" i="14" a="1"/>
  <c r="AC109" i="14" s="1"/>
  <c r="N109" i="14"/>
  <c r="O109" i="14" s="1"/>
  <c r="AG108" i="14"/>
  <c r="AE108" i="14"/>
  <c r="AD108" i="14"/>
  <c r="Z108" i="14" a="1"/>
  <c r="AC108" i="14" s="1"/>
  <c r="N108" i="14"/>
  <c r="O108" i="14" s="1"/>
  <c r="AG107" i="14"/>
  <c r="AE107" i="14"/>
  <c r="AD107" i="14"/>
  <c r="Z107" i="14" a="1"/>
  <c r="AC107" i="14" s="1"/>
  <c r="N107" i="14"/>
  <c r="O107" i="14" s="1"/>
  <c r="AG106" i="14"/>
  <c r="AE106" i="14"/>
  <c r="AD106" i="14"/>
  <c r="Z106" i="14" a="1"/>
  <c r="AC106" i="14" s="1"/>
  <c r="N106" i="14"/>
  <c r="O106" i="14" s="1"/>
  <c r="AG105" i="14"/>
  <c r="AE105" i="14"/>
  <c r="AD105" i="14"/>
  <c r="Z105" i="14" a="1"/>
  <c r="AC105" i="14" s="1"/>
  <c r="N105" i="14"/>
  <c r="O105" i="14" s="1"/>
  <c r="AG104" i="14"/>
  <c r="AE104" i="14"/>
  <c r="AD104" i="14"/>
  <c r="Z104" i="14" a="1"/>
  <c r="AC104" i="14" s="1"/>
  <c r="N104" i="14"/>
  <c r="O104" i="14" s="1"/>
  <c r="AG103" i="14"/>
  <c r="AE103" i="14"/>
  <c r="AD103" i="14"/>
  <c r="Z103" i="14" a="1"/>
  <c r="AC103" i="14" s="1"/>
  <c r="N103" i="14"/>
  <c r="O103" i="14" s="1"/>
  <c r="AG102" i="14"/>
  <c r="AE102" i="14"/>
  <c r="AD102" i="14"/>
  <c r="Z102" i="14" a="1"/>
  <c r="AC102" i="14" s="1"/>
  <c r="N102" i="14"/>
  <c r="O102" i="14" s="1"/>
  <c r="AG101" i="14"/>
  <c r="N101" i="14"/>
  <c r="O101" i="14" s="1"/>
  <c r="AG100" i="14"/>
  <c r="AE100" i="14"/>
  <c r="AD100" i="14"/>
  <c r="Z100" i="14" a="1"/>
  <c r="AC100" i="14" s="1"/>
  <c r="N100" i="14"/>
  <c r="O100" i="14" s="1"/>
  <c r="AG99" i="14"/>
  <c r="AE99" i="14"/>
  <c r="AD99" i="14"/>
  <c r="Z99" i="14" a="1"/>
  <c r="AC99" i="14" s="1"/>
  <c r="N99" i="14"/>
  <c r="O99" i="14" s="1"/>
  <c r="AG98" i="14"/>
  <c r="AE98" i="14"/>
  <c r="AD98" i="14"/>
  <c r="Z98" i="14" a="1"/>
  <c r="AC98" i="14" s="1"/>
  <c r="N98" i="14"/>
  <c r="O98" i="14" s="1"/>
  <c r="AG97" i="14"/>
  <c r="AE97" i="14"/>
  <c r="AD97" i="14"/>
  <c r="Z97" i="14" a="1"/>
  <c r="AC97" i="14" s="1"/>
  <c r="N97" i="14"/>
  <c r="O97" i="14" s="1"/>
  <c r="AG96" i="14"/>
  <c r="AE96" i="14"/>
  <c r="AD96" i="14"/>
  <c r="Z96" i="14" a="1"/>
  <c r="AC96" i="14" s="1"/>
  <c r="N96" i="14"/>
  <c r="O96" i="14" s="1"/>
  <c r="AG95" i="14"/>
  <c r="AE95" i="14"/>
  <c r="AD95" i="14"/>
  <c r="Z95" i="14" a="1"/>
  <c r="AC95" i="14" s="1"/>
  <c r="N95" i="14"/>
  <c r="O95" i="14" s="1"/>
  <c r="AG94" i="14"/>
  <c r="AE94" i="14"/>
  <c r="AD94" i="14"/>
  <c r="Z94" i="14" a="1"/>
  <c r="AC94" i="14" s="1"/>
  <c r="N94" i="14"/>
  <c r="O94" i="14" s="1"/>
  <c r="AG93" i="14"/>
  <c r="AE93" i="14"/>
  <c r="AD93" i="14"/>
  <c r="Z93" i="14" a="1"/>
  <c r="AC93" i="14" s="1"/>
  <c r="N93" i="14"/>
  <c r="O93" i="14" s="1"/>
  <c r="AG92" i="14"/>
  <c r="AE92" i="14"/>
  <c r="AD92" i="14"/>
  <c r="Z92" i="14" a="1"/>
  <c r="AC92" i="14" s="1"/>
  <c r="N92" i="14"/>
  <c r="O92" i="14" s="1"/>
  <c r="AB91" i="14"/>
  <c r="AA91" i="14"/>
  <c r="Z91" i="14"/>
  <c r="Y91" i="14"/>
  <c r="X91" i="14"/>
  <c r="W91" i="14"/>
  <c r="AG91" i="14" s="1"/>
  <c r="N91" i="14"/>
  <c r="O91" i="14" s="1"/>
  <c r="AG90" i="14"/>
  <c r="AE90" i="14"/>
  <c r="AD90" i="14"/>
  <c r="Z90" i="14" a="1"/>
  <c r="AC90" i="14" s="1"/>
  <c r="N90" i="14"/>
  <c r="O90" i="14" s="1"/>
  <c r="AG89" i="14"/>
  <c r="AE89" i="14"/>
  <c r="AD89" i="14"/>
  <c r="Z89" i="14" a="1"/>
  <c r="AC89" i="14" s="1"/>
  <c r="N89" i="14"/>
  <c r="O89" i="14" s="1"/>
  <c r="AG88" i="14"/>
  <c r="AE88" i="14"/>
  <c r="AD88" i="14"/>
  <c r="Z88" i="14" a="1"/>
  <c r="AC88" i="14" s="1"/>
  <c r="N88" i="14"/>
  <c r="O88" i="14" s="1"/>
  <c r="AG87" i="14"/>
  <c r="AE87" i="14"/>
  <c r="AD87" i="14"/>
  <c r="Z87" i="14" a="1"/>
  <c r="AC87" i="14" s="1"/>
  <c r="N87" i="14"/>
  <c r="O87" i="14" s="1"/>
  <c r="AG86" i="14"/>
  <c r="AE86" i="14"/>
  <c r="AD86" i="14"/>
  <c r="Z86" i="14" a="1"/>
  <c r="AC86" i="14" s="1"/>
  <c r="N86" i="14"/>
  <c r="O86" i="14" s="1"/>
  <c r="AG85" i="14"/>
  <c r="AE85" i="14"/>
  <c r="AD85" i="14"/>
  <c r="Z85" i="14" a="1"/>
  <c r="AC85" i="14" s="1"/>
  <c r="N85" i="14"/>
  <c r="O85" i="14" s="1"/>
  <c r="AG84" i="14"/>
  <c r="AE84" i="14"/>
  <c r="AD84" i="14"/>
  <c r="Z84" i="14" a="1"/>
  <c r="AC84" i="14" s="1"/>
  <c r="N84" i="14"/>
  <c r="O84" i="14" s="1"/>
  <c r="AG83" i="14"/>
  <c r="AE83" i="14"/>
  <c r="AD83" i="14"/>
  <c r="Z83" i="14" a="1"/>
  <c r="AC83" i="14" s="1"/>
  <c r="N83" i="14"/>
  <c r="O83" i="14" s="1"/>
  <c r="AG82" i="14"/>
  <c r="AE82" i="14"/>
  <c r="AD82" i="14"/>
  <c r="Z82" i="14" a="1"/>
  <c r="AC82" i="14" s="1"/>
  <c r="N82" i="14"/>
  <c r="O82" i="14" s="1"/>
  <c r="AB81" i="14"/>
  <c r="AA81" i="14"/>
  <c r="Z81" i="14"/>
  <c r="Y81" i="14"/>
  <c r="X81" i="14"/>
  <c r="W81" i="14"/>
  <c r="AG81" i="14" s="1"/>
  <c r="N81" i="14"/>
  <c r="O81" i="14" s="1"/>
  <c r="AG80" i="14"/>
  <c r="AE80" i="14"/>
  <c r="AD80" i="14"/>
  <c r="Z80" i="14" a="1"/>
  <c r="AC80" i="14" s="1"/>
  <c r="N80" i="14"/>
  <c r="O80" i="14" s="1"/>
  <c r="AG79" i="14"/>
  <c r="AE79" i="14"/>
  <c r="AD79" i="14"/>
  <c r="Z79" i="14" a="1"/>
  <c r="AC79" i="14" s="1"/>
  <c r="N79" i="14"/>
  <c r="O79" i="14" s="1"/>
  <c r="AG78" i="14"/>
  <c r="AE78" i="14"/>
  <c r="AD78" i="14"/>
  <c r="Z78" i="14" a="1"/>
  <c r="AC78" i="14" s="1"/>
  <c r="N78" i="14"/>
  <c r="O78" i="14" s="1"/>
  <c r="AG77" i="14"/>
  <c r="AE77" i="14"/>
  <c r="AD77" i="14"/>
  <c r="Z77" i="14" a="1"/>
  <c r="AC77" i="14" s="1"/>
  <c r="N77" i="14"/>
  <c r="O77" i="14" s="1"/>
  <c r="AG76" i="14"/>
  <c r="AE76" i="14"/>
  <c r="AD76" i="14"/>
  <c r="Z76" i="14" a="1"/>
  <c r="AC76" i="14" s="1"/>
  <c r="N76" i="14"/>
  <c r="O76" i="14" s="1"/>
  <c r="AG75" i="14"/>
  <c r="AE75" i="14"/>
  <c r="AD75" i="14"/>
  <c r="Z75" i="14" a="1"/>
  <c r="AC75" i="14" s="1"/>
  <c r="N75" i="14"/>
  <c r="O75" i="14" s="1"/>
  <c r="AG74" i="14"/>
  <c r="AE74" i="14"/>
  <c r="AD74" i="14"/>
  <c r="Z74" i="14" a="1"/>
  <c r="AC74" i="14" s="1"/>
  <c r="N74" i="14"/>
  <c r="O74" i="14" s="1"/>
  <c r="AG73" i="14"/>
  <c r="AE73" i="14"/>
  <c r="AD73" i="14"/>
  <c r="Z73" i="14" a="1"/>
  <c r="AC73" i="14" s="1"/>
  <c r="N73" i="14"/>
  <c r="O73" i="14" s="1"/>
  <c r="AG72" i="14"/>
  <c r="AE72" i="14"/>
  <c r="AD72" i="14"/>
  <c r="Z72" i="14" a="1"/>
  <c r="AC72" i="14" s="1"/>
  <c r="N72" i="14"/>
  <c r="O72" i="14" s="1"/>
  <c r="AG71" i="14"/>
  <c r="N71" i="14"/>
  <c r="O71" i="14" s="1"/>
  <c r="AG70" i="14"/>
  <c r="AE70" i="14"/>
  <c r="AD70" i="14"/>
  <c r="Z70" i="14" a="1"/>
  <c r="AC70" i="14" s="1"/>
  <c r="N70" i="14"/>
  <c r="O70" i="14" s="1"/>
  <c r="AG69" i="14"/>
  <c r="AE69" i="14"/>
  <c r="AD69" i="14"/>
  <c r="Z69" i="14" a="1"/>
  <c r="AC69" i="14" s="1"/>
  <c r="N69" i="14"/>
  <c r="O69" i="14" s="1"/>
  <c r="AG68" i="14"/>
  <c r="AE68" i="14"/>
  <c r="AD68" i="14"/>
  <c r="Z68" i="14" a="1"/>
  <c r="AC68" i="14" s="1"/>
  <c r="N68" i="14"/>
  <c r="O68" i="14" s="1"/>
  <c r="AG67" i="14"/>
  <c r="AE67" i="14"/>
  <c r="AD67" i="14"/>
  <c r="Z67" i="14" a="1"/>
  <c r="AC67" i="14" s="1"/>
  <c r="N67" i="14"/>
  <c r="O67" i="14" s="1"/>
  <c r="AG66" i="14"/>
  <c r="AE66" i="14"/>
  <c r="AD66" i="14"/>
  <c r="Z66" i="14" a="1"/>
  <c r="AC66" i="14" s="1"/>
  <c r="N66" i="14"/>
  <c r="O66" i="14" s="1"/>
  <c r="AG65" i="14"/>
  <c r="AE65" i="14"/>
  <c r="AD65" i="14"/>
  <c r="Z65" i="14" a="1"/>
  <c r="AC65" i="14" s="1"/>
  <c r="N65" i="14"/>
  <c r="O65" i="14" s="1"/>
  <c r="AG64" i="14"/>
  <c r="AE64" i="14"/>
  <c r="AD64" i="14"/>
  <c r="Z64" i="14" a="1"/>
  <c r="AC64" i="14" s="1"/>
  <c r="N64" i="14"/>
  <c r="O64" i="14" s="1"/>
  <c r="AG63" i="14"/>
  <c r="AE63" i="14"/>
  <c r="AD63" i="14"/>
  <c r="Z63" i="14" a="1"/>
  <c r="AC63" i="14" s="1"/>
  <c r="N63" i="14"/>
  <c r="O63" i="14" s="1"/>
  <c r="AG62" i="14"/>
  <c r="AE62" i="14"/>
  <c r="AD62" i="14"/>
  <c r="Z62" i="14" a="1"/>
  <c r="AC62" i="14" s="1"/>
  <c r="N62" i="14"/>
  <c r="O62" i="14" s="1"/>
  <c r="AG61" i="14"/>
  <c r="N61" i="14"/>
  <c r="O61" i="14" s="1"/>
  <c r="AG60" i="14"/>
  <c r="AE60" i="14"/>
  <c r="AD60" i="14"/>
  <c r="Z60" i="14" a="1"/>
  <c r="AC60" i="14" s="1"/>
  <c r="N60" i="14"/>
  <c r="O60" i="14" s="1"/>
  <c r="AG59" i="14"/>
  <c r="AE59" i="14"/>
  <c r="AD59" i="14"/>
  <c r="Z59" i="14" a="1"/>
  <c r="AC59" i="14" s="1"/>
  <c r="N59" i="14"/>
  <c r="O59" i="14" s="1"/>
  <c r="AG58" i="14"/>
  <c r="AE58" i="14"/>
  <c r="AD58" i="14"/>
  <c r="Z58" i="14" a="1"/>
  <c r="AC58" i="14" s="1"/>
  <c r="N58" i="14"/>
  <c r="O58" i="14" s="1"/>
  <c r="AG57" i="14"/>
  <c r="AE57" i="14"/>
  <c r="AD57" i="14"/>
  <c r="Z57" i="14" a="1"/>
  <c r="AC57" i="14" s="1"/>
  <c r="N57" i="14"/>
  <c r="O57" i="14" s="1"/>
  <c r="AG56" i="14"/>
  <c r="AE56" i="14"/>
  <c r="AD56" i="14"/>
  <c r="Z56" i="14" a="1"/>
  <c r="AC56" i="14" s="1"/>
  <c r="N56" i="14"/>
  <c r="O56" i="14" s="1"/>
  <c r="AG55" i="14"/>
  <c r="AE55" i="14"/>
  <c r="AD55" i="14"/>
  <c r="Z55" i="14" a="1"/>
  <c r="AC55" i="14" s="1"/>
  <c r="N55" i="14"/>
  <c r="O55" i="14" s="1"/>
  <c r="AG54" i="14"/>
  <c r="AE54" i="14"/>
  <c r="AD54" i="14"/>
  <c r="Z54" i="14" a="1"/>
  <c r="AC54" i="14" s="1"/>
  <c r="N54" i="14"/>
  <c r="O54" i="14" s="1"/>
  <c r="AG53" i="14"/>
  <c r="AE53" i="14"/>
  <c r="AD53" i="14"/>
  <c r="Z53" i="14" a="1"/>
  <c r="AC53" i="14" s="1"/>
  <c r="N53" i="14"/>
  <c r="O53" i="14" s="1"/>
  <c r="AG52" i="14"/>
  <c r="AE52" i="14"/>
  <c r="AD52" i="14"/>
  <c r="Z52" i="14" a="1"/>
  <c r="AC52" i="14" s="1"/>
  <c r="N52" i="14"/>
  <c r="O52" i="14" s="1"/>
  <c r="AB51" i="14"/>
  <c r="AA51" i="14"/>
  <c r="Z51" i="14"/>
  <c r="Y51" i="14"/>
  <c r="X51" i="14"/>
  <c r="AD51" i="14" s="1"/>
  <c r="W51" i="14"/>
  <c r="AG51" i="14" s="1"/>
  <c r="N51" i="14"/>
  <c r="O51" i="14" s="1"/>
  <c r="AG50" i="14"/>
  <c r="AE50" i="14"/>
  <c r="AD50" i="14"/>
  <c r="Z50" i="14" a="1"/>
  <c r="AC50" i="14" s="1"/>
  <c r="N50" i="14"/>
  <c r="O50" i="14" s="1"/>
  <c r="AG49" i="14"/>
  <c r="AE49" i="14"/>
  <c r="AD49" i="14"/>
  <c r="Z49" i="14" a="1"/>
  <c r="AC49" i="14" s="1"/>
  <c r="N49" i="14"/>
  <c r="O49" i="14" s="1"/>
  <c r="AG48" i="14"/>
  <c r="AE48" i="14"/>
  <c r="AD48" i="14"/>
  <c r="Z48" i="14" a="1"/>
  <c r="AC48" i="14" s="1"/>
  <c r="N48" i="14"/>
  <c r="O48" i="14" s="1"/>
  <c r="AG47" i="14"/>
  <c r="AE47" i="14"/>
  <c r="AD47" i="14"/>
  <c r="Z47" i="14" a="1"/>
  <c r="AC47" i="14" s="1"/>
  <c r="N47" i="14"/>
  <c r="O47" i="14" s="1"/>
  <c r="AG46" i="14"/>
  <c r="AE46" i="14"/>
  <c r="AD46" i="14"/>
  <c r="Z46" i="14" a="1"/>
  <c r="AC46" i="14" s="1"/>
  <c r="N46" i="14"/>
  <c r="O46" i="14" s="1"/>
  <c r="AG45" i="14"/>
  <c r="AE45" i="14"/>
  <c r="AD45" i="14"/>
  <c r="Z45" i="14" a="1"/>
  <c r="AC45" i="14" s="1"/>
  <c r="N45" i="14"/>
  <c r="O45" i="14" s="1"/>
  <c r="AG44" i="14"/>
  <c r="AE44" i="14"/>
  <c r="AD44" i="14"/>
  <c r="Z44" i="14" a="1"/>
  <c r="AC44" i="14" s="1"/>
  <c r="N44" i="14"/>
  <c r="O44" i="14" s="1"/>
  <c r="AG43" i="14"/>
  <c r="AE43" i="14"/>
  <c r="AD43" i="14"/>
  <c r="Z43" i="14" a="1"/>
  <c r="AC43" i="14" s="1"/>
  <c r="N43" i="14"/>
  <c r="O43" i="14" s="1"/>
  <c r="AG42" i="14"/>
  <c r="AE42" i="14"/>
  <c r="AD42" i="14"/>
  <c r="Z42" i="14" a="1"/>
  <c r="AC42" i="14" s="1"/>
  <c r="N42" i="14"/>
  <c r="O42" i="14" s="1"/>
  <c r="AB41" i="14"/>
  <c r="AA41" i="14"/>
  <c r="Z41" i="14"/>
  <c r="Y41" i="14"/>
  <c r="AE41" i="14" s="1"/>
  <c r="X41" i="14"/>
  <c r="AD41" i="14" s="1"/>
  <c r="W41" i="14"/>
  <c r="AG41" i="14" s="1"/>
  <c r="N41" i="14"/>
  <c r="O41" i="14" s="1"/>
  <c r="AG40" i="14"/>
  <c r="AE40" i="14"/>
  <c r="AD40" i="14"/>
  <c r="Z40" i="14" a="1"/>
  <c r="AC40" i="14" s="1"/>
  <c r="N40" i="14"/>
  <c r="O40" i="14" s="1"/>
  <c r="AG39" i="14"/>
  <c r="AE39" i="14"/>
  <c r="AD39" i="14"/>
  <c r="Z39" i="14" a="1"/>
  <c r="AC39" i="14" s="1"/>
  <c r="N39" i="14"/>
  <c r="O39" i="14" s="1"/>
  <c r="AG38" i="14"/>
  <c r="AE38" i="14"/>
  <c r="AD38" i="14"/>
  <c r="Z38" i="14" a="1"/>
  <c r="AC38" i="14" s="1"/>
  <c r="N38" i="14"/>
  <c r="O38" i="14" s="1"/>
  <c r="AG37" i="14"/>
  <c r="AE37" i="14"/>
  <c r="AD37" i="14"/>
  <c r="Z37" i="14" a="1"/>
  <c r="AC37" i="14" s="1"/>
  <c r="N37" i="14"/>
  <c r="O37" i="14" s="1"/>
  <c r="AG36" i="14"/>
  <c r="AE36" i="14"/>
  <c r="AD36" i="14"/>
  <c r="Z36" i="14" a="1"/>
  <c r="AC36" i="14" s="1"/>
  <c r="N36" i="14"/>
  <c r="O36" i="14" s="1"/>
  <c r="AG35" i="14"/>
  <c r="AE35" i="14"/>
  <c r="AD35" i="14"/>
  <c r="Z35" i="14" a="1"/>
  <c r="AC35" i="14" s="1"/>
  <c r="N35" i="14"/>
  <c r="O35" i="14" s="1"/>
  <c r="AG34" i="14"/>
  <c r="AE34" i="14"/>
  <c r="AD34" i="14"/>
  <c r="Z34" i="14" a="1"/>
  <c r="AC34" i="14" s="1"/>
  <c r="N34" i="14"/>
  <c r="O34" i="14" s="1"/>
  <c r="AG33" i="14"/>
  <c r="AE33" i="14"/>
  <c r="AD33" i="14"/>
  <c r="Z33" i="14" a="1"/>
  <c r="AC33" i="14" s="1"/>
  <c r="N33" i="14"/>
  <c r="O33" i="14" s="1"/>
  <c r="AG32" i="14"/>
  <c r="AE32" i="14"/>
  <c r="AD32" i="14"/>
  <c r="Z32" i="14" a="1"/>
  <c r="AC32" i="14" s="1"/>
  <c r="N32" i="14"/>
  <c r="O32" i="14" s="1"/>
  <c r="AB31" i="14"/>
  <c r="AA31" i="14"/>
  <c r="Z31" i="14"/>
  <c r="Y31" i="14"/>
  <c r="X31" i="14"/>
  <c r="W31" i="14"/>
  <c r="AG31" i="14" s="1"/>
  <c r="N31" i="14"/>
  <c r="O31" i="14" s="1"/>
  <c r="AG30" i="14"/>
  <c r="AE30" i="14"/>
  <c r="AD30" i="14"/>
  <c r="Z30" i="14" a="1"/>
  <c r="AC30" i="14" s="1"/>
  <c r="N30" i="14"/>
  <c r="O30" i="14" s="1"/>
  <c r="AG29" i="14"/>
  <c r="AE29" i="14"/>
  <c r="AD29" i="14"/>
  <c r="Z29" i="14" a="1"/>
  <c r="AC29" i="14" s="1"/>
  <c r="N29" i="14"/>
  <c r="O29" i="14" s="1"/>
  <c r="AG28" i="14"/>
  <c r="AE28" i="14"/>
  <c r="AD28" i="14"/>
  <c r="Z28" i="14" a="1"/>
  <c r="AC28" i="14" s="1"/>
  <c r="N28" i="14"/>
  <c r="O28" i="14" s="1"/>
  <c r="AG27" i="14"/>
  <c r="AE27" i="14"/>
  <c r="AD27" i="14"/>
  <c r="Z27" i="14" a="1"/>
  <c r="AC27" i="14" s="1"/>
  <c r="N27" i="14"/>
  <c r="O27" i="14" s="1"/>
  <c r="AG26" i="14"/>
  <c r="AE26" i="14"/>
  <c r="AD26" i="14"/>
  <c r="Z26" i="14" a="1"/>
  <c r="AC26" i="14" s="1"/>
  <c r="N26" i="14"/>
  <c r="O26" i="14" s="1"/>
  <c r="AG25" i="14"/>
  <c r="AE25" i="14"/>
  <c r="AD25" i="14"/>
  <c r="Z25" i="14" a="1"/>
  <c r="AC25" i="14" s="1"/>
  <c r="N25" i="14"/>
  <c r="O25" i="14" s="1"/>
  <c r="AG24" i="14"/>
  <c r="AE24" i="14"/>
  <c r="AD24" i="14"/>
  <c r="Z24" i="14" a="1"/>
  <c r="AC24" i="14" s="1"/>
  <c r="N24" i="14"/>
  <c r="O24" i="14" s="1"/>
  <c r="AG23" i="14"/>
  <c r="AE23" i="14"/>
  <c r="AD23" i="14"/>
  <c r="Z23" i="14" a="1"/>
  <c r="AC23" i="14" s="1"/>
  <c r="N23" i="14"/>
  <c r="O23" i="14" s="1"/>
  <c r="AG22" i="14"/>
  <c r="AE22" i="14"/>
  <c r="AD22" i="14"/>
  <c r="Z22" i="14" a="1"/>
  <c r="AC22" i="14" s="1"/>
  <c r="N22" i="14"/>
  <c r="O22" i="14" s="1"/>
  <c r="AB21" i="14"/>
  <c r="AA21" i="14"/>
  <c r="Z21" i="14"/>
  <c r="Y21" i="14"/>
  <c r="X21" i="14"/>
  <c r="W21" i="14"/>
  <c r="AG21" i="14" s="1"/>
  <c r="N21" i="14"/>
  <c r="O21" i="14" s="1"/>
  <c r="AG20" i="14"/>
  <c r="Z20" i="14" a="1"/>
  <c r="N20" i="14"/>
  <c r="O20" i="14" s="1"/>
  <c r="AG19" i="14"/>
  <c r="Z19" i="14" a="1"/>
  <c r="N19" i="14"/>
  <c r="O19" i="14" s="1"/>
  <c r="AG18" i="14"/>
  <c r="Z18" i="14" a="1"/>
  <c r="N18" i="14"/>
  <c r="O18" i="14" s="1"/>
  <c r="AG17" i="14"/>
  <c r="Z17" i="14" a="1"/>
  <c r="N17" i="14"/>
  <c r="O17" i="14" s="1"/>
  <c r="AG16" i="14"/>
  <c r="Z16" i="14" a="1"/>
  <c r="N16" i="14"/>
  <c r="O16" i="14" s="1"/>
  <c r="AG15" i="14"/>
  <c r="Z15" i="14" a="1"/>
  <c r="N15" i="14"/>
  <c r="O15" i="14" s="1"/>
  <c r="AG14" i="14"/>
  <c r="Z14" i="14" a="1"/>
  <c r="N14" i="14"/>
  <c r="O14" i="14" s="1"/>
  <c r="AG13" i="14"/>
  <c r="Z13" i="14" a="1"/>
  <c r="N13" i="14"/>
  <c r="O13" i="14" s="1"/>
  <c r="AG12" i="14"/>
  <c r="Z12" i="14" a="1"/>
  <c r="N12" i="14"/>
  <c r="O12" i="14" s="1"/>
  <c r="AB11" i="14"/>
  <c r="AA11" i="14"/>
  <c r="Z11" i="14"/>
  <c r="Y11" i="14"/>
  <c r="X11" i="14"/>
  <c r="W11" i="14"/>
  <c r="AG11" i="14" s="1"/>
  <c r="N11" i="14"/>
  <c r="O11" i="14" s="1"/>
  <c r="AG10" i="14"/>
  <c r="Z10" i="14" a="1"/>
  <c r="N10" i="14"/>
  <c r="O10" i="14" s="1"/>
  <c r="AG9" i="14"/>
  <c r="Z9" i="14" a="1"/>
  <c r="N9" i="14"/>
  <c r="O9" i="14" s="1"/>
  <c r="AG8" i="14"/>
  <c r="Z8" i="14" a="1"/>
  <c r="N8" i="14"/>
  <c r="O8" i="14" s="1"/>
  <c r="AG7" i="14"/>
  <c r="Z7" i="14" a="1"/>
  <c r="N7" i="14"/>
  <c r="O7" i="14" s="1"/>
  <c r="AG6" i="14"/>
  <c r="Z6" i="14" a="1"/>
  <c r="N6" i="14"/>
  <c r="O6" i="14" s="1"/>
  <c r="AG5" i="14"/>
  <c r="Z5" i="14" a="1"/>
  <c r="N5" i="14"/>
  <c r="O5" i="14" s="1"/>
  <c r="AG4" i="14"/>
  <c r="Z4" i="14" a="1"/>
  <c r="N4" i="14"/>
  <c r="O4" i="14" s="1"/>
  <c r="AG3" i="14"/>
  <c r="Z3" i="14" a="1"/>
  <c r="N3" i="14"/>
  <c r="O3" i="14" s="1"/>
  <c r="AG2" i="14"/>
  <c r="Z2" i="14" a="1"/>
  <c r="N2" i="14"/>
  <c r="O2" i="14" s="1"/>
  <c r="AB31" i="10"/>
  <c r="AE31" i="10" s="1"/>
  <c r="AA31" i="10"/>
  <c r="AD31" i="10" s="1"/>
  <c r="Z31" i="10"/>
  <c r="AC31" i="10" s="1"/>
  <c r="Y31" i="10"/>
  <c r="X31" i="10"/>
  <c r="W31" i="10"/>
  <c r="AB121" i="12"/>
  <c r="AE121" i="12" s="1"/>
  <c r="AA121" i="12"/>
  <c r="AD121" i="12" s="1"/>
  <c r="Z121" i="12"/>
  <c r="AC121" i="12" s="1"/>
  <c r="Y121" i="12"/>
  <c r="X121" i="12"/>
  <c r="W121" i="12"/>
  <c r="AB101" i="12"/>
  <c r="AE101" i="12" s="1"/>
  <c r="AA101" i="12"/>
  <c r="AD101" i="12" s="1"/>
  <c r="Z101" i="12"/>
  <c r="AC101" i="12" s="1"/>
  <c r="Y101" i="12"/>
  <c r="X101" i="12"/>
  <c r="W101" i="12"/>
  <c r="AB91" i="12"/>
  <c r="AE91" i="12" s="1"/>
  <c r="AA91" i="12"/>
  <c r="AD91" i="12" s="1"/>
  <c r="Z91" i="12"/>
  <c r="AC91" i="12" s="1"/>
  <c r="Y91" i="12"/>
  <c r="X91" i="12"/>
  <c r="W91" i="12"/>
  <c r="AB81" i="12"/>
  <c r="AE81" i="12" s="1"/>
  <c r="AA81" i="12"/>
  <c r="AD81" i="12" s="1"/>
  <c r="Z81" i="12"/>
  <c r="AC81" i="12" s="1"/>
  <c r="Y81" i="12"/>
  <c r="X81" i="12"/>
  <c r="W81" i="12"/>
  <c r="AB41" i="12"/>
  <c r="AE41" i="12" s="1"/>
  <c r="AA41" i="12"/>
  <c r="AD41" i="12" s="1"/>
  <c r="Z41" i="12"/>
  <c r="AC41" i="12" s="1"/>
  <c r="Y41" i="12"/>
  <c r="X41" i="12"/>
  <c r="W41" i="12"/>
  <c r="AB141" i="12"/>
  <c r="AE141" i="12" s="1"/>
  <c r="AA141" i="12"/>
  <c r="AD141" i="12" s="1"/>
  <c r="Z141" i="12"/>
  <c r="AC141" i="12" s="1"/>
  <c r="Y141" i="12"/>
  <c r="X141" i="12"/>
  <c r="W141" i="12"/>
  <c r="AE140" i="12"/>
  <c r="AD140" i="12"/>
  <c r="AC140" i="12"/>
  <c r="AE139" i="12"/>
  <c r="AD139" i="12"/>
  <c r="AC139" i="12"/>
  <c r="AE138" i="12"/>
  <c r="AD138" i="12"/>
  <c r="AC138" i="12"/>
  <c r="AE137" i="12"/>
  <c r="AD137" i="12"/>
  <c r="AC137" i="12"/>
  <c r="AE136" i="12"/>
  <c r="AD136" i="12"/>
  <c r="AC136" i="12"/>
  <c r="AE135" i="12"/>
  <c r="AD135" i="12"/>
  <c r="AC135" i="12"/>
  <c r="AE134" i="12"/>
  <c r="AD134" i="12"/>
  <c r="AC134" i="12"/>
  <c r="AE133" i="12"/>
  <c r="AD133" i="12"/>
  <c r="AC133" i="12"/>
  <c r="AE132" i="12"/>
  <c r="AD132" i="12"/>
  <c r="AC132" i="12"/>
  <c r="AB131" i="12"/>
  <c r="AE131" i="12" s="1"/>
  <c r="AA131" i="12"/>
  <c r="AD131" i="12" s="1"/>
  <c r="Z131" i="12"/>
  <c r="AC131" i="12" s="1"/>
  <c r="Y131" i="12"/>
  <c r="X131" i="12"/>
  <c r="W131" i="12"/>
  <c r="AE130" i="12"/>
  <c r="AD130" i="12"/>
  <c r="AC130" i="12"/>
  <c r="AE129" i="12"/>
  <c r="AD129" i="12"/>
  <c r="AC129" i="12"/>
  <c r="AE128" i="12"/>
  <c r="AD128" i="12"/>
  <c r="AC128" i="12"/>
  <c r="AE127" i="12"/>
  <c r="AD127" i="12"/>
  <c r="AC127" i="12"/>
  <c r="AE126" i="12"/>
  <c r="AD126" i="12"/>
  <c r="AC126" i="12"/>
  <c r="AE125" i="12"/>
  <c r="AD125" i="12"/>
  <c r="AC125" i="12"/>
  <c r="AE124" i="12"/>
  <c r="AD124" i="12"/>
  <c r="AC124" i="12"/>
  <c r="AE123" i="12"/>
  <c r="AD123" i="12"/>
  <c r="AC123" i="12"/>
  <c r="AE122" i="12"/>
  <c r="AD122" i="12"/>
  <c r="AC122" i="12"/>
  <c r="AE120" i="12"/>
  <c r="AD120" i="12"/>
  <c r="AC120" i="12"/>
  <c r="AE119" i="12"/>
  <c r="AD119" i="12"/>
  <c r="AC119" i="12"/>
  <c r="AE118" i="12"/>
  <c r="AD118" i="12"/>
  <c r="AC118" i="12"/>
  <c r="AE117" i="12"/>
  <c r="AD117" i="12"/>
  <c r="AC117" i="12"/>
  <c r="AE116" i="12"/>
  <c r="AD116" i="12"/>
  <c r="AC116" i="12"/>
  <c r="AE115" i="12"/>
  <c r="AD115" i="12"/>
  <c r="AC115" i="12"/>
  <c r="AE114" i="12"/>
  <c r="AD114" i="12"/>
  <c r="AC114" i="12"/>
  <c r="AE113" i="12"/>
  <c r="AD113" i="12"/>
  <c r="AC113" i="12"/>
  <c r="AE112" i="12"/>
  <c r="AD112" i="12"/>
  <c r="AC112" i="12"/>
  <c r="AB111" i="12"/>
  <c r="AE111" i="12" s="1"/>
  <c r="AA111" i="12"/>
  <c r="AD111" i="12" s="1"/>
  <c r="Z111" i="12"/>
  <c r="AC111" i="12" s="1"/>
  <c r="Y111" i="12"/>
  <c r="X111" i="12"/>
  <c r="W111" i="12"/>
  <c r="AE110" i="12"/>
  <c r="AD110" i="12"/>
  <c r="AC110" i="12"/>
  <c r="AE109" i="12"/>
  <c r="AD109" i="12"/>
  <c r="AC109" i="12"/>
  <c r="AE108" i="12"/>
  <c r="AD108" i="12"/>
  <c r="AC108" i="12"/>
  <c r="AE107" i="12"/>
  <c r="AD107" i="12"/>
  <c r="AC107" i="12"/>
  <c r="AE106" i="12"/>
  <c r="AD106" i="12"/>
  <c r="AC106" i="12"/>
  <c r="AE105" i="12"/>
  <c r="AD105" i="12"/>
  <c r="AC105" i="12"/>
  <c r="AE104" i="12"/>
  <c r="AD104" i="12"/>
  <c r="AC104" i="12"/>
  <c r="AE103" i="12"/>
  <c r="AD103" i="12"/>
  <c r="AC103" i="12"/>
  <c r="AE102" i="12"/>
  <c r="AD102" i="12"/>
  <c r="AC102" i="12"/>
  <c r="AE100" i="12"/>
  <c r="AD100" i="12"/>
  <c r="AC100" i="12"/>
  <c r="AE99" i="12"/>
  <c r="AD99" i="12"/>
  <c r="AC99" i="12"/>
  <c r="AE98" i="12"/>
  <c r="AD98" i="12"/>
  <c r="AC98" i="12"/>
  <c r="AE97" i="12"/>
  <c r="AD97" i="12"/>
  <c r="AC97" i="12"/>
  <c r="AE96" i="12"/>
  <c r="AD96" i="12"/>
  <c r="AC96" i="12"/>
  <c r="AE95" i="12"/>
  <c r="AD95" i="12"/>
  <c r="AC95" i="12"/>
  <c r="AE94" i="12"/>
  <c r="AD94" i="12"/>
  <c r="AC94" i="12"/>
  <c r="AE93" i="12"/>
  <c r="AD93" i="12"/>
  <c r="AC93" i="12"/>
  <c r="AE92" i="12"/>
  <c r="AD92" i="12"/>
  <c r="AC92" i="12"/>
  <c r="AE90" i="12"/>
  <c r="AD90" i="12"/>
  <c r="AC90" i="12"/>
  <c r="AE89" i="12"/>
  <c r="AD89" i="12"/>
  <c r="AC89" i="12"/>
  <c r="AE88" i="12"/>
  <c r="AD88" i="12"/>
  <c r="AC88" i="12"/>
  <c r="AE87" i="12"/>
  <c r="AD87" i="12"/>
  <c r="AC87" i="12"/>
  <c r="AE86" i="12"/>
  <c r="AD86" i="12"/>
  <c r="AC86" i="12"/>
  <c r="AE85" i="12"/>
  <c r="AD85" i="12"/>
  <c r="AC85" i="12"/>
  <c r="AE84" i="12"/>
  <c r="AD84" i="12"/>
  <c r="AC84" i="12"/>
  <c r="AE83" i="12"/>
  <c r="AD83" i="12"/>
  <c r="AC83" i="12"/>
  <c r="AE82" i="12"/>
  <c r="AD82" i="12"/>
  <c r="AC82" i="12"/>
  <c r="AE80" i="12"/>
  <c r="AD80" i="12"/>
  <c r="AC80" i="12"/>
  <c r="AE79" i="12"/>
  <c r="AD79" i="12"/>
  <c r="AC79" i="12"/>
  <c r="AE78" i="12"/>
  <c r="AD78" i="12"/>
  <c r="AC78" i="12"/>
  <c r="AE77" i="12"/>
  <c r="AD77" i="12"/>
  <c r="AC77" i="12"/>
  <c r="AE76" i="12"/>
  <c r="AD76" i="12"/>
  <c r="AC76" i="12"/>
  <c r="AE75" i="12"/>
  <c r="AD75" i="12"/>
  <c r="AC75" i="12"/>
  <c r="AE74" i="12"/>
  <c r="AD74" i="12"/>
  <c r="AC74" i="12"/>
  <c r="AE73" i="12"/>
  <c r="AD73" i="12"/>
  <c r="AC73" i="12"/>
  <c r="AE72" i="12"/>
  <c r="AD72" i="12"/>
  <c r="AC72" i="12"/>
  <c r="AB71" i="12"/>
  <c r="AE71" i="12" s="1"/>
  <c r="AA71" i="12"/>
  <c r="AD71" i="12" s="1"/>
  <c r="Z71" i="12"/>
  <c r="AC71" i="12" s="1"/>
  <c r="Y71" i="12"/>
  <c r="X71" i="12"/>
  <c r="W71" i="12"/>
  <c r="AE70" i="12"/>
  <c r="AD70" i="12"/>
  <c r="AC70" i="12"/>
  <c r="AE69" i="12"/>
  <c r="AD69" i="12"/>
  <c r="AC69" i="12"/>
  <c r="AE68" i="12"/>
  <c r="AD68" i="12"/>
  <c r="AC68" i="12"/>
  <c r="AE67" i="12"/>
  <c r="AD67" i="12"/>
  <c r="AC67" i="12"/>
  <c r="AE66" i="12"/>
  <c r="AD66" i="12"/>
  <c r="AC66" i="12"/>
  <c r="AE65" i="12"/>
  <c r="AD65" i="12"/>
  <c r="AC65" i="12"/>
  <c r="AE64" i="12"/>
  <c r="AD64" i="12"/>
  <c r="AC64" i="12"/>
  <c r="AE63" i="12"/>
  <c r="AD63" i="12"/>
  <c r="AC63" i="12"/>
  <c r="AE62" i="12"/>
  <c r="AD62" i="12"/>
  <c r="AC62" i="12"/>
  <c r="AB61" i="12"/>
  <c r="AE61" i="12" s="1"/>
  <c r="AA61" i="12"/>
  <c r="AD61" i="12" s="1"/>
  <c r="Z61" i="12"/>
  <c r="AC61" i="12" s="1"/>
  <c r="Y61" i="12"/>
  <c r="X61" i="12"/>
  <c r="W61" i="12"/>
  <c r="AE60" i="12"/>
  <c r="AD60" i="12"/>
  <c r="AC60" i="12"/>
  <c r="AE59" i="12"/>
  <c r="AD59" i="12"/>
  <c r="AC59" i="12"/>
  <c r="AE58" i="12"/>
  <c r="AD58" i="12"/>
  <c r="AC58" i="12"/>
  <c r="AE57" i="12"/>
  <c r="AD57" i="12"/>
  <c r="AC57" i="12"/>
  <c r="AE56" i="12"/>
  <c r="AD56" i="12"/>
  <c r="AC56" i="12"/>
  <c r="AE55" i="12"/>
  <c r="AD55" i="12"/>
  <c r="AC55" i="12"/>
  <c r="AE54" i="12"/>
  <c r="AD54" i="12"/>
  <c r="AC54" i="12"/>
  <c r="AE53" i="12"/>
  <c r="AD53" i="12"/>
  <c r="AC53" i="12"/>
  <c r="AE52" i="12"/>
  <c r="AD52" i="12"/>
  <c r="AC52" i="12"/>
  <c r="AB51" i="12"/>
  <c r="AE51" i="12" s="1"/>
  <c r="AA51" i="12"/>
  <c r="AD51" i="12" s="1"/>
  <c r="Z51" i="12"/>
  <c r="AC51" i="12" s="1"/>
  <c r="Y51" i="12"/>
  <c r="X51" i="12"/>
  <c r="W51" i="12"/>
  <c r="AE50" i="12"/>
  <c r="AD50" i="12"/>
  <c r="AC50" i="12"/>
  <c r="AE49" i="12"/>
  <c r="AD49" i="12"/>
  <c r="AC49" i="12"/>
  <c r="AE48" i="12"/>
  <c r="AD48" i="12"/>
  <c r="AC48" i="12"/>
  <c r="AE47" i="12"/>
  <c r="AD47" i="12"/>
  <c r="AC47" i="12"/>
  <c r="AE46" i="12"/>
  <c r="AD46" i="12"/>
  <c r="AC46" i="12"/>
  <c r="AE45" i="12"/>
  <c r="AD45" i="12"/>
  <c r="AC45" i="12"/>
  <c r="AE44" i="12"/>
  <c r="AD44" i="12"/>
  <c r="AC44" i="12"/>
  <c r="AE43" i="12"/>
  <c r="AD43" i="12"/>
  <c r="AC43" i="12"/>
  <c r="AE42" i="12"/>
  <c r="AD42" i="12"/>
  <c r="AC42" i="12"/>
  <c r="AE40" i="12"/>
  <c r="AD40" i="12"/>
  <c r="AC40" i="12"/>
  <c r="AE39" i="12"/>
  <c r="AD39" i="12"/>
  <c r="AC39" i="12"/>
  <c r="AE38" i="12"/>
  <c r="AD38" i="12"/>
  <c r="AC38" i="12"/>
  <c r="AE37" i="12"/>
  <c r="AD37" i="12"/>
  <c r="AC37" i="12"/>
  <c r="AE36" i="12"/>
  <c r="AD36" i="12"/>
  <c r="AC36" i="12"/>
  <c r="AE35" i="12"/>
  <c r="AD35" i="12"/>
  <c r="AC35" i="12"/>
  <c r="AE34" i="12"/>
  <c r="AD34" i="12"/>
  <c r="AC34" i="12"/>
  <c r="AE33" i="12"/>
  <c r="AD33" i="12"/>
  <c r="AC33" i="12"/>
  <c r="AE32" i="12"/>
  <c r="AD32" i="12"/>
  <c r="AC32" i="12"/>
  <c r="AB31" i="12"/>
  <c r="AE31" i="12" s="1"/>
  <c r="AA31" i="12"/>
  <c r="AD31" i="12" s="1"/>
  <c r="Z31" i="12"/>
  <c r="AC31" i="12" s="1"/>
  <c r="Y31" i="12"/>
  <c r="X31" i="12"/>
  <c r="W31" i="12"/>
  <c r="AE30" i="12"/>
  <c r="AD30" i="12"/>
  <c r="AC30" i="12"/>
  <c r="AE29" i="12"/>
  <c r="AD29" i="12"/>
  <c r="AC29" i="12"/>
  <c r="AE28" i="12"/>
  <c r="AD28" i="12"/>
  <c r="AC28" i="12"/>
  <c r="AE27" i="12"/>
  <c r="AD27" i="12"/>
  <c r="AC27" i="12"/>
  <c r="AE26" i="12"/>
  <c r="AD26" i="12"/>
  <c r="AC26" i="12"/>
  <c r="AE25" i="12"/>
  <c r="AD25" i="12"/>
  <c r="AC25" i="12"/>
  <c r="AE24" i="12"/>
  <c r="AD24" i="12"/>
  <c r="AC24" i="12"/>
  <c r="AE23" i="12"/>
  <c r="AD23" i="12"/>
  <c r="AC23" i="12"/>
  <c r="AE22" i="12"/>
  <c r="AD22" i="12"/>
  <c r="AC22" i="12"/>
  <c r="AB21" i="12"/>
  <c r="AE21" i="12" s="1"/>
  <c r="AA21" i="12"/>
  <c r="AD21" i="12" s="1"/>
  <c r="Z21" i="12"/>
  <c r="AC21" i="12" s="1"/>
  <c r="Y21" i="12"/>
  <c r="X21" i="12"/>
  <c r="W21" i="12"/>
  <c r="E21" i="12"/>
  <c r="AE20" i="12"/>
  <c r="AD20" i="12"/>
  <c r="AC20" i="12"/>
  <c r="E20" i="12"/>
  <c r="AE19" i="12"/>
  <c r="AD19" i="12"/>
  <c r="AC19" i="12"/>
  <c r="E19" i="12"/>
  <c r="AE18" i="12"/>
  <c r="AD18" i="12"/>
  <c r="AC18" i="12"/>
  <c r="E18" i="12"/>
  <c r="AE17" i="12"/>
  <c r="AD17" i="12"/>
  <c r="AC17" i="12"/>
  <c r="E17" i="12"/>
  <c r="AE16" i="12"/>
  <c r="AD16" i="12"/>
  <c r="AC16" i="12"/>
  <c r="E16" i="12"/>
  <c r="AE15" i="12"/>
  <c r="AD15" i="12"/>
  <c r="AC15" i="12"/>
  <c r="E15" i="12"/>
  <c r="AE14" i="12"/>
  <c r="AD14" i="12"/>
  <c r="AC14" i="12"/>
  <c r="E14" i="12"/>
  <c r="AE13" i="12"/>
  <c r="AD13" i="12"/>
  <c r="AC13" i="12"/>
  <c r="E13" i="12"/>
  <c r="AE12" i="12"/>
  <c r="AD12" i="12"/>
  <c r="AC12" i="12"/>
  <c r="E12" i="12"/>
  <c r="AB11" i="12"/>
  <c r="AE11" i="12" s="1"/>
  <c r="AA11" i="12"/>
  <c r="AD11" i="12" s="1"/>
  <c r="Z11" i="12"/>
  <c r="AC11" i="12" s="1"/>
  <c r="Y11" i="12"/>
  <c r="X11" i="12"/>
  <c r="W11" i="12"/>
  <c r="E11" i="12"/>
  <c r="AE10" i="12"/>
  <c r="AD10" i="12"/>
  <c r="AC10" i="12"/>
  <c r="E10" i="12"/>
  <c r="AE9" i="12"/>
  <c r="AD9" i="12"/>
  <c r="AC9" i="12"/>
  <c r="E9" i="12"/>
  <c r="AE8" i="12"/>
  <c r="AD8" i="12"/>
  <c r="AC8" i="12"/>
  <c r="E8" i="12"/>
  <c r="AE7" i="12"/>
  <c r="AD7" i="12"/>
  <c r="AC7" i="12"/>
  <c r="E7" i="12"/>
  <c r="AE6" i="12"/>
  <c r="AD6" i="12"/>
  <c r="AC6" i="12"/>
  <c r="E6" i="12"/>
  <c r="AE5" i="12"/>
  <c r="AD5" i="12"/>
  <c r="AC5" i="12"/>
  <c r="E5" i="12"/>
  <c r="AE4" i="12"/>
  <c r="AD4" i="12"/>
  <c r="AC4" i="12"/>
  <c r="E4" i="12"/>
  <c r="AE3" i="12"/>
  <c r="AD3" i="12"/>
  <c r="AC3" i="12"/>
  <c r="E3" i="12"/>
  <c r="AE2" i="12"/>
  <c r="AD2" i="12"/>
  <c r="AC2" i="12"/>
  <c r="AC91" i="14" l="1"/>
  <c r="AC81" i="14"/>
  <c r="AE51" i="14"/>
  <c r="AC51" i="14"/>
  <c r="AC31" i="14"/>
  <c r="AC21" i="14"/>
  <c r="AE11" i="14"/>
  <c r="AE91" i="14"/>
  <c r="AD11" i="14"/>
  <c r="AD21" i="14"/>
  <c r="AD81" i="14"/>
  <c r="AE81" i="14"/>
  <c r="AC41" i="14"/>
  <c r="AC11" i="14"/>
  <c r="AD31" i="14"/>
  <c r="AD91" i="14"/>
  <c r="AE21" i="14"/>
  <c r="AE31" i="14"/>
  <c r="N177" i="10"/>
  <c r="O177" i="10" s="1"/>
  <c r="N178" i="10"/>
  <c r="O178" i="10" s="1"/>
  <c r="N179" i="10"/>
  <c r="O179" i="10" s="1"/>
  <c r="N180" i="10"/>
  <c r="N181" i="10"/>
  <c r="O181" i="10" s="1"/>
  <c r="O180" i="10"/>
  <c r="Z177" i="10" a="1"/>
  <c r="AC177" i="10" s="1"/>
  <c r="Z178" i="10" a="1"/>
  <c r="AC178" i="10" s="1"/>
  <c r="Z179" i="10" a="1"/>
  <c r="AC179" i="10" s="1"/>
  <c r="Z180" i="10" a="1"/>
  <c r="AC180" i="10"/>
  <c r="AD177" i="10"/>
  <c r="AD178" i="10"/>
  <c r="AD179" i="10"/>
  <c r="AD180" i="10"/>
  <c r="AE177" i="10"/>
  <c r="AE178" i="10"/>
  <c r="AE179" i="10"/>
  <c r="AE180" i="10"/>
  <c r="AG177" i="10"/>
  <c r="AG178" i="10"/>
  <c r="AG179" i="10"/>
  <c r="AG180" i="10"/>
  <c r="AG181" i="10"/>
  <c r="AB91" i="10"/>
  <c r="AE91" i="10" s="1"/>
  <c r="AA91" i="10"/>
  <c r="AD91" i="10" s="1"/>
  <c r="Z91" i="10"/>
  <c r="AC91" i="10" s="1"/>
  <c r="Y91" i="10"/>
  <c r="X91" i="10"/>
  <c r="W91" i="10"/>
  <c r="AB171" i="10" l="1"/>
  <c r="AE171" i="10" s="1"/>
  <c r="AA171" i="10"/>
  <c r="AD171" i="10" s="1"/>
  <c r="Z171" i="10"/>
  <c r="AC171" i="10" s="1"/>
  <c r="Y171" i="10"/>
  <c r="X171" i="10"/>
  <c r="W171" i="10"/>
  <c r="AB161" i="10"/>
  <c r="AE161" i="10" s="1"/>
  <c r="AA161" i="10"/>
  <c r="AD161" i="10" s="1"/>
  <c r="Z161" i="10"/>
  <c r="AC161" i="10" s="1"/>
  <c r="Y161" i="10"/>
  <c r="X161" i="10"/>
  <c r="W161" i="10"/>
  <c r="AB81" i="10"/>
  <c r="AE81" i="10" s="1"/>
  <c r="AA81" i="10"/>
  <c r="AD81" i="10" s="1"/>
  <c r="Z81" i="10"/>
  <c r="AC81" i="10" s="1"/>
  <c r="Y81" i="10"/>
  <c r="X81" i="10"/>
  <c r="W81" i="10"/>
  <c r="AB51" i="10"/>
  <c r="AA51" i="10"/>
  <c r="Z51" i="10"/>
  <c r="AC51" i="10" s="1"/>
  <c r="Y51" i="10"/>
  <c r="AE51" i="10" s="1"/>
  <c r="X51" i="10"/>
  <c r="AD51" i="10" s="1"/>
  <c r="W51" i="10"/>
  <c r="AB41" i="10"/>
  <c r="X41" i="10"/>
  <c r="W41" i="10"/>
  <c r="AE41" i="10"/>
  <c r="AA41" i="10"/>
  <c r="AD41" i="10" s="1"/>
  <c r="Z41" i="10"/>
  <c r="Y41" i="10"/>
  <c r="AA21" i="10"/>
  <c r="AB21" i="10"/>
  <c r="Z21" i="10"/>
  <c r="X21" i="10"/>
  <c r="Y21" i="10"/>
  <c r="W11" i="10"/>
  <c r="W21" i="10"/>
  <c r="AA11" i="10"/>
  <c r="AB11" i="10"/>
  <c r="Z11" i="10"/>
  <c r="X11" i="10"/>
  <c r="Y11" i="10"/>
  <c r="AE11" i="10"/>
  <c r="AD11" i="10"/>
  <c r="AC11" i="10"/>
  <c r="AC41" i="10" l="1"/>
  <c r="AG21" i="10" l="1"/>
  <c r="AD22" i="10"/>
  <c r="AD23" i="10"/>
  <c r="AD24" i="10"/>
  <c r="AD25" i="10"/>
  <c r="AD26" i="10"/>
  <c r="AD27" i="10"/>
  <c r="AD28" i="10"/>
  <c r="AD29" i="10"/>
  <c r="AD30" i="10"/>
  <c r="AD32" i="10"/>
  <c r="AD33" i="10"/>
  <c r="AD34" i="10"/>
  <c r="AD35" i="10"/>
  <c r="AD36" i="10"/>
  <c r="AD37" i="10"/>
  <c r="AD38" i="10"/>
  <c r="AD39" i="10"/>
  <c r="AD40" i="10"/>
  <c r="AD42" i="10"/>
  <c r="AD43" i="10"/>
  <c r="AD44" i="10"/>
  <c r="AD45" i="10"/>
  <c r="AD46" i="10"/>
  <c r="AD47" i="10"/>
  <c r="AD48" i="10"/>
  <c r="AD49" i="10"/>
  <c r="AD50" i="10"/>
  <c r="AD52" i="10"/>
  <c r="AD53" i="10"/>
  <c r="AD54" i="10"/>
  <c r="AD55" i="10"/>
  <c r="AD57" i="10"/>
  <c r="AD58" i="10"/>
  <c r="AD59" i="10"/>
  <c r="AD60" i="10"/>
  <c r="AD62" i="10"/>
  <c r="AD63" i="10"/>
  <c r="AD64" i="10"/>
  <c r="AD65" i="10"/>
  <c r="AD66" i="10"/>
  <c r="AD67" i="10"/>
  <c r="AD68" i="10"/>
  <c r="AD69" i="10"/>
  <c r="AD70" i="10"/>
  <c r="AD72" i="10"/>
  <c r="AD73" i="10"/>
  <c r="AD74" i="10"/>
  <c r="AD75" i="10"/>
  <c r="AD76" i="10"/>
  <c r="AD77" i="10"/>
  <c r="AD78" i="10"/>
  <c r="AD79" i="10"/>
  <c r="AD80" i="10"/>
  <c r="AD82" i="10"/>
  <c r="AD83" i="10"/>
  <c r="AD84" i="10"/>
  <c r="AD85" i="10"/>
  <c r="AD86" i="10"/>
  <c r="AD87" i="10"/>
  <c r="AD88" i="10"/>
  <c r="AD89" i="10"/>
  <c r="AD90" i="10"/>
  <c r="AD92" i="10"/>
  <c r="AD93" i="10"/>
  <c r="AD94" i="10"/>
  <c r="AD95" i="10"/>
  <c r="AD96" i="10"/>
  <c r="AD97" i="10"/>
  <c r="AD98" i="10"/>
  <c r="AD99" i="10"/>
  <c r="AD100" i="10"/>
  <c r="AD102" i="10"/>
  <c r="AD103" i="10"/>
  <c r="AD104" i="10"/>
  <c r="AD105" i="10"/>
  <c r="AD106" i="10"/>
  <c r="AD107" i="10"/>
  <c r="AD108" i="10"/>
  <c r="AD109" i="10"/>
  <c r="AD110" i="10"/>
  <c r="AD112" i="10"/>
  <c r="AD113" i="10"/>
  <c r="AD114" i="10"/>
  <c r="AD115" i="10"/>
  <c r="AD116" i="10"/>
  <c r="AD117" i="10"/>
  <c r="AD118" i="10"/>
  <c r="AD119" i="10"/>
  <c r="AD120" i="10"/>
  <c r="AD122" i="10"/>
  <c r="AD123" i="10"/>
  <c r="AD124" i="10"/>
  <c r="AD125" i="10"/>
  <c r="AD126" i="10"/>
  <c r="AD127" i="10"/>
  <c r="AD128" i="10"/>
  <c r="AD129" i="10"/>
  <c r="AD130" i="10"/>
  <c r="AD132" i="10"/>
  <c r="AD133" i="10"/>
  <c r="AD134" i="10"/>
  <c r="AD135" i="10"/>
  <c r="AD136" i="10"/>
  <c r="AD137" i="10"/>
  <c r="AD138" i="10"/>
  <c r="AD139" i="10"/>
  <c r="AD140" i="10"/>
  <c r="AD142" i="10"/>
  <c r="AD143" i="10"/>
  <c r="AD144" i="10"/>
  <c r="AD145" i="10"/>
  <c r="AD146" i="10"/>
  <c r="AD147" i="10"/>
  <c r="AD148" i="10"/>
  <c r="AD149" i="10"/>
  <c r="AD150" i="10"/>
  <c r="AD152" i="10"/>
  <c r="AD153" i="10"/>
  <c r="AD154" i="10"/>
  <c r="AD155" i="10"/>
  <c r="AD156" i="10"/>
  <c r="AD157" i="10"/>
  <c r="AD158" i="10"/>
  <c r="AD159" i="10"/>
  <c r="AD160" i="10"/>
  <c r="AD162" i="10"/>
  <c r="AD163" i="10"/>
  <c r="AD164" i="10"/>
  <c r="AD165" i="10"/>
  <c r="AD166" i="10"/>
  <c r="AD167" i="10"/>
  <c r="AD168" i="10"/>
  <c r="AD169" i="10"/>
  <c r="AD170" i="10"/>
  <c r="AD172" i="10"/>
  <c r="AD173" i="10"/>
  <c r="AD174" i="10"/>
  <c r="AD175" i="10"/>
  <c r="AD176" i="10"/>
  <c r="AE22" i="10"/>
  <c r="AE23" i="10"/>
  <c r="AE24" i="10"/>
  <c r="AE25" i="10"/>
  <c r="AE26" i="10"/>
  <c r="AE27" i="10"/>
  <c r="AE28" i="10"/>
  <c r="AE29" i="10"/>
  <c r="AE30" i="10"/>
  <c r="AE32" i="10"/>
  <c r="AE33" i="10"/>
  <c r="AE34" i="10"/>
  <c r="AE35" i="10"/>
  <c r="AE36" i="10"/>
  <c r="AE37" i="10"/>
  <c r="AE38" i="10"/>
  <c r="AE39" i="10"/>
  <c r="AE40" i="10"/>
  <c r="AE42" i="10"/>
  <c r="AE43" i="10"/>
  <c r="AE44" i="10"/>
  <c r="AE45" i="10"/>
  <c r="AE46" i="10"/>
  <c r="AE47" i="10"/>
  <c r="AE48" i="10"/>
  <c r="AE49" i="10"/>
  <c r="AE50" i="10"/>
  <c r="AE52" i="10"/>
  <c r="AE53" i="10"/>
  <c r="AE54" i="10"/>
  <c r="AE55" i="10"/>
  <c r="AE57" i="10"/>
  <c r="AE58" i="10"/>
  <c r="AE59" i="10"/>
  <c r="AE60" i="10"/>
  <c r="AE62" i="10"/>
  <c r="AE63" i="10"/>
  <c r="AE64" i="10"/>
  <c r="AE65" i="10"/>
  <c r="AE66" i="10"/>
  <c r="AE67" i="10"/>
  <c r="AE68" i="10"/>
  <c r="AE69" i="10"/>
  <c r="AE70" i="10"/>
  <c r="AE72" i="10"/>
  <c r="AE73" i="10"/>
  <c r="AE74" i="10"/>
  <c r="AE75" i="10"/>
  <c r="AE76" i="10"/>
  <c r="AE77" i="10"/>
  <c r="AE78" i="10"/>
  <c r="AE79" i="10"/>
  <c r="AE80" i="10"/>
  <c r="AE82" i="10"/>
  <c r="AE83" i="10"/>
  <c r="AE84" i="10"/>
  <c r="AE85" i="10"/>
  <c r="AE86" i="10"/>
  <c r="AE87" i="10"/>
  <c r="AE88" i="10"/>
  <c r="AE89" i="10"/>
  <c r="AE90" i="10"/>
  <c r="AE92" i="10"/>
  <c r="AE93" i="10"/>
  <c r="AE94" i="10"/>
  <c r="AE95" i="10"/>
  <c r="AE96" i="10"/>
  <c r="AE97" i="10"/>
  <c r="AE98" i="10"/>
  <c r="AE99" i="10"/>
  <c r="AE100" i="10"/>
  <c r="AE102" i="10"/>
  <c r="AE103" i="10"/>
  <c r="AE104" i="10"/>
  <c r="AE105" i="10"/>
  <c r="AE106" i="10"/>
  <c r="AE107" i="10"/>
  <c r="AE108" i="10"/>
  <c r="AE109" i="10"/>
  <c r="AE110" i="10"/>
  <c r="AE112" i="10"/>
  <c r="AE113" i="10"/>
  <c r="AE114" i="10"/>
  <c r="AE115" i="10"/>
  <c r="AE116" i="10"/>
  <c r="AE117" i="10"/>
  <c r="AE118" i="10"/>
  <c r="AE119" i="10"/>
  <c r="AE120" i="10"/>
  <c r="AE122" i="10"/>
  <c r="AE123" i="10"/>
  <c r="AE124" i="10"/>
  <c r="AE125" i="10"/>
  <c r="AE126" i="10"/>
  <c r="AE127" i="10"/>
  <c r="AE128" i="10"/>
  <c r="AE129" i="10"/>
  <c r="AE130" i="10"/>
  <c r="AE132" i="10"/>
  <c r="AE133" i="10"/>
  <c r="AE134" i="10"/>
  <c r="AE135" i="10"/>
  <c r="AE136" i="10"/>
  <c r="AE137" i="10"/>
  <c r="AE138" i="10"/>
  <c r="AE139" i="10"/>
  <c r="AE140" i="10"/>
  <c r="AE142" i="10"/>
  <c r="AE143" i="10"/>
  <c r="AE144" i="10"/>
  <c r="AE145" i="10"/>
  <c r="AE146" i="10"/>
  <c r="AE147" i="10"/>
  <c r="AE148" i="10"/>
  <c r="AE149" i="10"/>
  <c r="AE150" i="10"/>
  <c r="AE152" i="10"/>
  <c r="AE153" i="10"/>
  <c r="AE154" i="10"/>
  <c r="AE155" i="10"/>
  <c r="AE156" i="10"/>
  <c r="AE157" i="10"/>
  <c r="AE158" i="10"/>
  <c r="AE159" i="10"/>
  <c r="AE160" i="10"/>
  <c r="AE162" i="10"/>
  <c r="AE163" i="10"/>
  <c r="AE164" i="10"/>
  <c r="AE165" i="10"/>
  <c r="AE166" i="10"/>
  <c r="AE167" i="10"/>
  <c r="AE168" i="10"/>
  <c r="AE169" i="10"/>
  <c r="AE170" i="10"/>
  <c r="AE172" i="10"/>
  <c r="AE173" i="10"/>
  <c r="AE174" i="10"/>
  <c r="AE175" i="10"/>
  <c r="AE176" i="10"/>
  <c r="O44" i="10"/>
  <c r="O173" i="10"/>
  <c r="O174" i="10"/>
  <c r="N2" i="10"/>
  <c r="O2" i="10" s="1"/>
  <c r="N3" i="10"/>
  <c r="O3" i="10" s="1"/>
  <c r="N4" i="10"/>
  <c r="O4" i="10" s="1"/>
  <c r="N5" i="10"/>
  <c r="O5" i="10" s="1"/>
  <c r="N6" i="10"/>
  <c r="O6" i="10" s="1"/>
  <c r="N7" i="10"/>
  <c r="O7" i="10" s="1"/>
  <c r="N8" i="10"/>
  <c r="O8" i="10" s="1"/>
  <c r="N9" i="10"/>
  <c r="O9" i="10" s="1"/>
  <c r="N10" i="10"/>
  <c r="O10" i="10" s="1"/>
  <c r="N11" i="10"/>
  <c r="O11" i="10" s="1"/>
  <c r="N12" i="10"/>
  <c r="O12" i="10" s="1"/>
  <c r="N13" i="10"/>
  <c r="O13" i="10" s="1"/>
  <c r="N14" i="10"/>
  <c r="O14" i="10" s="1"/>
  <c r="N15" i="10"/>
  <c r="O15" i="10" s="1"/>
  <c r="N16" i="10"/>
  <c r="O16" i="10" s="1"/>
  <c r="N17" i="10"/>
  <c r="O17" i="10" s="1"/>
  <c r="N18" i="10"/>
  <c r="O18" i="10" s="1"/>
  <c r="N19" i="10"/>
  <c r="O19" i="10" s="1"/>
  <c r="N20" i="10"/>
  <c r="O20" i="10" s="1"/>
  <c r="N21" i="10"/>
  <c r="O21" i="10" s="1"/>
  <c r="N22" i="10"/>
  <c r="O22" i="10" s="1"/>
  <c r="N23" i="10"/>
  <c r="O23" i="10" s="1"/>
  <c r="N24" i="10"/>
  <c r="O24" i="10" s="1"/>
  <c r="N25" i="10"/>
  <c r="O25" i="10" s="1"/>
  <c r="N26" i="10"/>
  <c r="O26" i="10" s="1"/>
  <c r="N27" i="10"/>
  <c r="O27" i="10" s="1"/>
  <c r="N28" i="10"/>
  <c r="O28" i="10" s="1"/>
  <c r="N29" i="10"/>
  <c r="O29" i="10" s="1"/>
  <c r="N30" i="10"/>
  <c r="O30" i="10" s="1"/>
  <c r="N31" i="10"/>
  <c r="O31" i="10" s="1"/>
  <c r="N32" i="10"/>
  <c r="O32" i="10" s="1"/>
  <c r="N33" i="10"/>
  <c r="O33" i="10" s="1"/>
  <c r="N34" i="10"/>
  <c r="O34" i="10" s="1"/>
  <c r="N35" i="10"/>
  <c r="O35" i="10" s="1"/>
  <c r="N36" i="10"/>
  <c r="O36" i="10" s="1"/>
  <c r="N37" i="10"/>
  <c r="O37" i="10" s="1"/>
  <c r="N38" i="10"/>
  <c r="O38" i="10" s="1"/>
  <c r="N39" i="10"/>
  <c r="O39" i="10" s="1"/>
  <c r="N40" i="10"/>
  <c r="O40" i="10" s="1"/>
  <c r="N41" i="10"/>
  <c r="O41" i="10" s="1"/>
  <c r="N42" i="10"/>
  <c r="O42" i="10" s="1"/>
  <c r="N43" i="10"/>
  <c r="O43" i="10" s="1"/>
  <c r="N44" i="10"/>
  <c r="N45" i="10"/>
  <c r="O45" i="10" s="1"/>
  <c r="N46" i="10"/>
  <c r="O46" i="10" s="1"/>
  <c r="N47" i="10"/>
  <c r="O47" i="10" s="1"/>
  <c r="N48" i="10"/>
  <c r="O48" i="10" s="1"/>
  <c r="N49" i="10"/>
  <c r="O49" i="10" s="1"/>
  <c r="N50" i="10"/>
  <c r="O50" i="10" s="1"/>
  <c r="N51" i="10"/>
  <c r="O51" i="10" s="1"/>
  <c r="N52" i="10"/>
  <c r="O52" i="10" s="1"/>
  <c r="N53" i="10"/>
  <c r="O53" i="10" s="1"/>
  <c r="N54" i="10"/>
  <c r="O54" i="10" s="1"/>
  <c r="N55" i="10"/>
  <c r="O55" i="10" s="1"/>
  <c r="N56" i="10"/>
  <c r="O56" i="10" s="1"/>
  <c r="N57" i="10"/>
  <c r="O57" i="10" s="1"/>
  <c r="N58" i="10"/>
  <c r="O58" i="10" s="1"/>
  <c r="N59" i="10"/>
  <c r="O59" i="10" s="1"/>
  <c r="N60" i="10"/>
  <c r="O60" i="10" s="1"/>
  <c r="N61" i="10"/>
  <c r="O61" i="10" s="1"/>
  <c r="N62" i="10"/>
  <c r="O62" i="10" s="1"/>
  <c r="N63" i="10"/>
  <c r="O63" i="10" s="1"/>
  <c r="N64" i="10"/>
  <c r="O64" i="10" s="1"/>
  <c r="N65" i="10"/>
  <c r="O65" i="10" s="1"/>
  <c r="N66" i="10"/>
  <c r="O66" i="10" s="1"/>
  <c r="N67" i="10"/>
  <c r="O67" i="10" s="1"/>
  <c r="N68" i="10"/>
  <c r="O68" i="10" s="1"/>
  <c r="N69" i="10"/>
  <c r="O69" i="10" s="1"/>
  <c r="N70" i="10"/>
  <c r="O70" i="10" s="1"/>
  <c r="N71" i="10"/>
  <c r="O71" i="10" s="1"/>
  <c r="N72" i="10"/>
  <c r="O72" i="10" s="1"/>
  <c r="N73" i="10"/>
  <c r="O73" i="10" s="1"/>
  <c r="N74" i="10"/>
  <c r="O74" i="10" s="1"/>
  <c r="N75" i="10"/>
  <c r="O75" i="10" s="1"/>
  <c r="N76" i="10"/>
  <c r="O76" i="10" s="1"/>
  <c r="N77" i="10"/>
  <c r="O77" i="10" s="1"/>
  <c r="N78" i="10"/>
  <c r="O78" i="10" s="1"/>
  <c r="N79" i="10"/>
  <c r="O79" i="10" s="1"/>
  <c r="N80" i="10"/>
  <c r="O80" i="10" s="1"/>
  <c r="N81" i="10"/>
  <c r="O81" i="10" s="1"/>
  <c r="N82" i="10"/>
  <c r="O82" i="10" s="1"/>
  <c r="N83" i="10"/>
  <c r="O83" i="10" s="1"/>
  <c r="N84" i="10"/>
  <c r="O84" i="10" s="1"/>
  <c r="N85" i="10"/>
  <c r="O85" i="10" s="1"/>
  <c r="N86" i="10"/>
  <c r="O86" i="10" s="1"/>
  <c r="N87" i="10"/>
  <c r="O87" i="10" s="1"/>
  <c r="N88" i="10"/>
  <c r="O88" i="10" s="1"/>
  <c r="N89" i="10"/>
  <c r="O89" i="10" s="1"/>
  <c r="N90" i="10"/>
  <c r="O90" i="10" s="1"/>
  <c r="N91" i="10"/>
  <c r="O91" i="10" s="1"/>
  <c r="N92" i="10"/>
  <c r="O92" i="10" s="1"/>
  <c r="N93" i="10"/>
  <c r="O93" i="10" s="1"/>
  <c r="N94" i="10"/>
  <c r="O94" i="10" s="1"/>
  <c r="N95" i="10"/>
  <c r="O95" i="10" s="1"/>
  <c r="N96" i="10"/>
  <c r="O96" i="10" s="1"/>
  <c r="N97" i="10"/>
  <c r="O97" i="10" s="1"/>
  <c r="N98" i="10"/>
  <c r="O98" i="10" s="1"/>
  <c r="N99" i="10"/>
  <c r="O99" i="10" s="1"/>
  <c r="N100" i="10"/>
  <c r="O100" i="10" s="1"/>
  <c r="N101" i="10"/>
  <c r="O101" i="10" s="1"/>
  <c r="N102" i="10"/>
  <c r="O102" i="10" s="1"/>
  <c r="N103" i="10"/>
  <c r="O103" i="10" s="1"/>
  <c r="N104" i="10"/>
  <c r="O104" i="10" s="1"/>
  <c r="N105" i="10"/>
  <c r="O105" i="10" s="1"/>
  <c r="N106" i="10"/>
  <c r="O106" i="10" s="1"/>
  <c r="N107" i="10"/>
  <c r="O107" i="10" s="1"/>
  <c r="N108" i="10"/>
  <c r="O108" i="10" s="1"/>
  <c r="N109" i="10"/>
  <c r="O109" i="10" s="1"/>
  <c r="N110" i="10"/>
  <c r="O110" i="10" s="1"/>
  <c r="N111" i="10"/>
  <c r="O111" i="10" s="1"/>
  <c r="N112" i="10"/>
  <c r="O112" i="10" s="1"/>
  <c r="N113" i="10"/>
  <c r="O113" i="10" s="1"/>
  <c r="N114" i="10"/>
  <c r="O114" i="10" s="1"/>
  <c r="N115" i="10"/>
  <c r="O115" i="10" s="1"/>
  <c r="N116" i="10"/>
  <c r="O116" i="10" s="1"/>
  <c r="N117" i="10"/>
  <c r="O117" i="10" s="1"/>
  <c r="N118" i="10"/>
  <c r="O118" i="10" s="1"/>
  <c r="N119" i="10"/>
  <c r="O119" i="10" s="1"/>
  <c r="N120" i="10"/>
  <c r="O120" i="10" s="1"/>
  <c r="N121" i="10"/>
  <c r="O121" i="10" s="1"/>
  <c r="N122" i="10"/>
  <c r="O122" i="10" s="1"/>
  <c r="N123" i="10"/>
  <c r="O123" i="10" s="1"/>
  <c r="N124" i="10"/>
  <c r="O124" i="10" s="1"/>
  <c r="N125" i="10"/>
  <c r="O125" i="10" s="1"/>
  <c r="N126" i="10"/>
  <c r="O126" i="10" s="1"/>
  <c r="N127" i="10"/>
  <c r="O127" i="10" s="1"/>
  <c r="N128" i="10"/>
  <c r="O128" i="10" s="1"/>
  <c r="N129" i="10"/>
  <c r="O129" i="10" s="1"/>
  <c r="N130" i="10"/>
  <c r="O130" i="10" s="1"/>
  <c r="N131" i="10"/>
  <c r="O131" i="10" s="1"/>
  <c r="N132" i="10"/>
  <c r="O132" i="10" s="1"/>
  <c r="N133" i="10"/>
  <c r="O133" i="10" s="1"/>
  <c r="N134" i="10"/>
  <c r="O134" i="10" s="1"/>
  <c r="N135" i="10"/>
  <c r="O135" i="10" s="1"/>
  <c r="N136" i="10"/>
  <c r="O136" i="10" s="1"/>
  <c r="N137" i="10"/>
  <c r="O137" i="10" s="1"/>
  <c r="N138" i="10"/>
  <c r="O138" i="10" s="1"/>
  <c r="N139" i="10"/>
  <c r="O139" i="10" s="1"/>
  <c r="N140" i="10"/>
  <c r="O140" i="10" s="1"/>
  <c r="N141" i="10"/>
  <c r="O141" i="10" s="1"/>
  <c r="N142" i="10"/>
  <c r="O142" i="10" s="1"/>
  <c r="N143" i="10"/>
  <c r="O143" i="10" s="1"/>
  <c r="N144" i="10"/>
  <c r="O144" i="10" s="1"/>
  <c r="N145" i="10"/>
  <c r="O145" i="10" s="1"/>
  <c r="N146" i="10"/>
  <c r="O146" i="10" s="1"/>
  <c r="N147" i="10"/>
  <c r="O147" i="10" s="1"/>
  <c r="N148" i="10"/>
  <c r="O148" i="10" s="1"/>
  <c r="N149" i="10"/>
  <c r="O149" i="10" s="1"/>
  <c r="N150" i="10"/>
  <c r="O150" i="10" s="1"/>
  <c r="N151" i="10"/>
  <c r="O151" i="10" s="1"/>
  <c r="N152" i="10"/>
  <c r="O152" i="10" s="1"/>
  <c r="N153" i="10"/>
  <c r="O153" i="10" s="1"/>
  <c r="N154" i="10"/>
  <c r="O154" i="10" s="1"/>
  <c r="N155" i="10"/>
  <c r="O155" i="10" s="1"/>
  <c r="N156" i="10"/>
  <c r="O156" i="10" s="1"/>
  <c r="N157" i="10"/>
  <c r="O157" i="10" s="1"/>
  <c r="N158" i="10"/>
  <c r="O158" i="10" s="1"/>
  <c r="N159" i="10"/>
  <c r="O159" i="10" s="1"/>
  <c r="N160" i="10"/>
  <c r="O160" i="10" s="1"/>
  <c r="N161" i="10"/>
  <c r="O161" i="10" s="1"/>
  <c r="N162" i="10"/>
  <c r="O162" i="10" s="1"/>
  <c r="N163" i="10"/>
  <c r="O163" i="10" s="1"/>
  <c r="N164" i="10"/>
  <c r="O164" i="10" s="1"/>
  <c r="N165" i="10"/>
  <c r="O165" i="10" s="1"/>
  <c r="N166" i="10"/>
  <c r="O166" i="10" s="1"/>
  <c r="N167" i="10"/>
  <c r="O167" i="10" s="1"/>
  <c r="N168" i="10"/>
  <c r="O168" i="10" s="1"/>
  <c r="N169" i="10"/>
  <c r="O169" i="10" s="1"/>
  <c r="N170" i="10"/>
  <c r="O170" i="10" s="1"/>
  <c r="N171" i="10"/>
  <c r="O171" i="10" s="1"/>
  <c r="N172" i="10"/>
  <c r="O172" i="10" s="1"/>
  <c r="N173" i="10"/>
  <c r="N174" i="10"/>
  <c r="N175" i="10"/>
  <c r="O175" i="10" s="1"/>
  <c r="N176" i="10"/>
  <c r="O176" i="10" s="1"/>
  <c r="Z77" i="10" a="1"/>
  <c r="AC77" i="10" s="1"/>
  <c r="Z78" i="10" a="1"/>
  <c r="AC78" i="10" s="1"/>
  <c r="Z79" i="10" a="1"/>
  <c r="AC79" i="10" s="1"/>
  <c r="Z80" i="10" a="1"/>
  <c r="AC80" i="10" s="1"/>
  <c r="Z82" i="10" a="1"/>
  <c r="AC82" i="10" s="1"/>
  <c r="Z83" i="10" a="1"/>
  <c r="AC83" i="10" s="1"/>
  <c r="Z84" i="10" a="1"/>
  <c r="AC84" i="10" s="1"/>
  <c r="Z85" i="10" a="1"/>
  <c r="AC85" i="10" s="1"/>
  <c r="Z86" i="10" a="1"/>
  <c r="AC86" i="10" s="1"/>
  <c r="Z87" i="10" a="1"/>
  <c r="AC87" i="10" s="1"/>
  <c r="Z88" i="10" a="1"/>
  <c r="AC88" i="10" s="1"/>
  <c r="Z89" i="10" a="1"/>
  <c r="AC89" i="10" s="1"/>
  <c r="Z90" i="10" a="1"/>
  <c r="AC90" i="10" s="1"/>
  <c r="Z92" i="10" a="1"/>
  <c r="AC92" i="10" s="1"/>
  <c r="Z93" i="10" a="1"/>
  <c r="AC93" i="10" s="1"/>
  <c r="Z94" i="10" a="1"/>
  <c r="AC94" i="10" s="1"/>
  <c r="Z95" i="10" a="1"/>
  <c r="AC95" i="10" s="1"/>
  <c r="Z96" i="10" a="1"/>
  <c r="AC96" i="10" s="1"/>
  <c r="Z97" i="10" a="1"/>
  <c r="AC97" i="10" s="1"/>
  <c r="Z98" i="10" a="1"/>
  <c r="AC98" i="10" s="1"/>
  <c r="Z99" i="10" a="1"/>
  <c r="AC99" i="10" s="1"/>
  <c r="Z100" i="10" a="1"/>
  <c r="AC100" i="10" s="1"/>
  <c r="Z102" i="10" a="1"/>
  <c r="AC102" i="10" s="1"/>
  <c r="Z103" i="10" a="1"/>
  <c r="AC103" i="10" s="1"/>
  <c r="Z104" i="10" a="1"/>
  <c r="AC104" i="10" s="1"/>
  <c r="Z105" i="10" a="1"/>
  <c r="AC105" i="10" s="1"/>
  <c r="Z106" i="10" a="1"/>
  <c r="AC106" i="10" s="1"/>
  <c r="Z107" i="10" a="1"/>
  <c r="AC107" i="10" s="1"/>
  <c r="Z108" i="10" a="1"/>
  <c r="AC108" i="10" s="1"/>
  <c r="Z109" i="10" a="1"/>
  <c r="AC109" i="10" s="1"/>
  <c r="Z110" i="10" a="1"/>
  <c r="AC110" i="10" s="1"/>
  <c r="Z112" i="10" a="1"/>
  <c r="AC112" i="10" s="1"/>
  <c r="Z113" i="10" a="1"/>
  <c r="AC113" i="10" s="1"/>
  <c r="Z114" i="10" a="1"/>
  <c r="AC114" i="10" s="1"/>
  <c r="Z115" i="10" a="1"/>
  <c r="AC115" i="10" s="1"/>
  <c r="Z116" i="10" a="1"/>
  <c r="AC116" i="10" s="1"/>
  <c r="Z117" i="10" a="1"/>
  <c r="AC117" i="10" s="1"/>
  <c r="Z118" i="10" a="1"/>
  <c r="AC118" i="10" s="1"/>
  <c r="Z119" i="10" a="1"/>
  <c r="AC119" i="10" s="1"/>
  <c r="Z120" i="10" a="1"/>
  <c r="AC120" i="10" s="1"/>
  <c r="Z122" i="10" a="1"/>
  <c r="AC122" i="10" s="1"/>
  <c r="Z123" i="10" a="1"/>
  <c r="AC123" i="10" s="1"/>
  <c r="Z124" i="10" a="1"/>
  <c r="AC124" i="10" s="1"/>
  <c r="Z125" i="10" a="1"/>
  <c r="AC125" i="10" s="1"/>
  <c r="Z126" i="10" a="1"/>
  <c r="AC126" i="10" s="1"/>
  <c r="Z127" i="10" a="1"/>
  <c r="AC127" i="10" s="1"/>
  <c r="Z128" i="10" a="1"/>
  <c r="AC128" i="10" s="1"/>
  <c r="Z129" i="10" a="1"/>
  <c r="AC129" i="10" s="1"/>
  <c r="Z130" i="10" a="1"/>
  <c r="AC130" i="10" s="1"/>
  <c r="Z132" i="10" a="1"/>
  <c r="AC132" i="10" s="1"/>
  <c r="Z133" i="10" a="1"/>
  <c r="AC133" i="10" s="1"/>
  <c r="Z134" i="10" a="1"/>
  <c r="AC134" i="10" s="1"/>
  <c r="Z135" i="10" a="1"/>
  <c r="AC135" i="10" s="1"/>
  <c r="Z136" i="10" a="1"/>
  <c r="AC136" i="10" s="1"/>
  <c r="Z137" i="10" a="1"/>
  <c r="AC137" i="10" s="1"/>
  <c r="Z138" i="10" a="1"/>
  <c r="AC138" i="10" s="1"/>
  <c r="Z139" i="10" a="1"/>
  <c r="AC139" i="10" s="1"/>
  <c r="Z140" i="10" a="1"/>
  <c r="AC140" i="10" s="1"/>
  <c r="Z142" i="10" a="1"/>
  <c r="AC142" i="10" s="1"/>
  <c r="Z143" i="10" a="1"/>
  <c r="AC143" i="10" s="1"/>
  <c r="Z144" i="10" a="1"/>
  <c r="AC144" i="10" s="1"/>
  <c r="Z145" i="10" a="1"/>
  <c r="AC145" i="10" s="1"/>
  <c r="Z146" i="10" a="1"/>
  <c r="AC146" i="10" s="1"/>
  <c r="Z147" i="10" a="1"/>
  <c r="AC147" i="10" s="1"/>
  <c r="Z148" i="10" a="1"/>
  <c r="AC148" i="10" s="1"/>
  <c r="Z149" i="10" a="1"/>
  <c r="AC149" i="10" s="1"/>
  <c r="Z150" i="10" a="1"/>
  <c r="AC150" i="10" s="1"/>
  <c r="Z152" i="10" a="1"/>
  <c r="AC152" i="10" s="1"/>
  <c r="Z153" i="10" a="1"/>
  <c r="AC153" i="10" s="1"/>
  <c r="Z154" i="10" a="1"/>
  <c r="AC154" i="10" s="1"/>
  <c r="Z155" i="10" a="1"/>
  <c r="AC155" i="10" s="1"/>
  <c r="Z156" i="10" a="1"/>
  <c r="AC156" i="10" s="1"/>
  <c r="Z157" i="10" a="1"/>
  <c r="AC157" i="10" s="1"/>
  <c r="Z158" i="10" a="1"/>
  <c r="AC158" i="10" s="1"/>
  <c r="Z159" i="10" a="1"/>
  <c r="AC159" i="10" s="1"/>
  <c r="Z160" i="10" a="1"/>
  <c r="AC160" i="10" s="1"/>
  <c r="Z162" i="10" a="1"/>
  <c r="AC162" i="10" s="1"/>
  <c r="Z163" i="10" a="1"/>
  <c r="AC163" i="10" s="1"/>
  <c r="Z164" i="10" a="1"/>
  <c r="AC164" i="10" s="1"/>
  <c r="Z165" i="10" a="1"/>
  <c r="AC165" i="10" s="1"/>
  <c r="Z166" i="10" a="1"/>
  <c r="AC166" i="10" s="1"/>
  <c r="Z167" i="10" a="1"/>
  <c r="AC167" i="10" s="1"/>
  <c r="Z168" i="10" a="1"/>
  <c r="AC168" i="10" s="1"/>
  <c r="Z169" i="10" a="1"/>
  <c r="AC169" i="10" s="1"/>
  <c r="Z170" i="10" a="1"/>
  <c r="AC170" i="10" s="1"/>
  <c r="Z172" i="10" a="1"/>
  <c r="AC172" i="10" s="1"/>
  <c r="Z173" i="10" a="1"/>
  <c r="AC173" i="10" s="1"/>
  <c r="Z174" i="10" a="1"/>
  <c r="AC174" i="10" s="1"/>
  <c r="Z175" i="10" a="1"/>
  <c r="AC175" i="10" s="1"/>
  <c r="Z176" i="10" a="1"/>
  <c r="AC176" i="10" s="1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Z57" i="10" a="1"/>
  <c r="AC57" i="10" s="1"/>
  <c r="Z58" i="10" a="1"/>
  <c r="AC58" i="10" s="1"/>
  <c r="Z59" i="10" a="1"/>
  <c r="AC59" i="10" s="1"/>
  <c r="Z60" i="10" a="1"/>
  <c r="AC60" i="10" s="1"/>
  <c r="Z62" i="10" a="1"/>
  <c r="AC62" i="10" s="1"/>
  <c r="Z63" i="10" a="1"/>
  <c r="AC63" i="10" s="1"/>
  <c r="Z64" i="10" a="1"/>
  <c r="AC64" i="10" s="1"/>
  <c r="Z65" i="10" a="1"/>
  <c r="AC65" i="10" s="1"/>
  <c r="Z66" i="10" a="1"/>
  <c r="AC66" i="10" s="1"/>
  <c r="Z67" i="10" a="1"/>
  <c r="AC67" i="10" s="1"/>
  <c r="Z68" i="10" a="1"/>
  <c r="AC68" i="10" s="1"/>
  <c r="Z69" i="10" a="1"/>
  <c r="AC69" i="10" s="1"/>
  <c r="Z70" i="10" a="1"/>
  <c r="AC70" i="10" s="1"/>
  <c r="Z72" i="10" a="1"/>
  <c r="AC72" i="10" s="1"/>
  <c r="Z73" i="10" a="1"/>
  <c r="AC73" i="10" s="1"/>
  <c r="Z74" i="10" a="1"/>
  <c r="AC74" i="10" s="1"/>
  <c r="Z75" i="10" a="1"/>
  <c r="AC75" i="10" s="1"/>
  <c r="Z76" i="10" a="1"/>
  <c r="AC76" i="10" s="1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Z37" i="10" a="1"/>
  <c r="AC37" i="10" s="1"/>
  <c r="Z38" i="10" a="1"/>
  <c r="AC38" i="10" s="1"/>
  <c r="Z39" i="10" a="1"/>
  <c r="AC39" i="10" s="1"/>
  <c r="Z40" i="10" a="1"/>
  <c r="AC40" i="10" s="1"/>
  <c r="Z42" i="10" a="1"/>
  <c r="AC42" i="10" s="1"/>
  <c r="Z43" i="10" a="1"/>
  <c r="AC43" i="10" s="1"/>
  <c r="Z44" i="10" a="1"/>
  <c r="AC44" i="10" s="1"/>
  <c r="Z45" i="10" a="1"/>
  <c r="AC45" i="10" s="1"/>
  <c r="Z46" i="10" a="1"/>
  <c r="AC46" i="10" s="1"/>
  <c r="Z47" i="10" a="1"/>
  <c r="AC47" i="10" s="1"/>
  <c r="Z48" i="10" a="1"/>
  <c r="AC48" i="10" s="1"/>
  <c r="Z49" i="10" a="1"/>
  <c r="AC49" i="10" s="1"/>
  <c r="Z50" i="10" a="1"/>
  <c r="AC50" i="10" s="1"/>
  <c r="Z52" i="10" a="1"/>
  <c r="AC52" i="10" s="1"/>
  <c r="Z53" i="10" a="1"/>
  <c r="AC53" i="10" s="1"/>
  <c r="Z54" i="10" a="1"/>
  <c r="AC54" i="10" s="1"/>
  <c r="Z55" i="10" a="1"/>
  <c r="AC55" i="10" s="1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Z17" i="10" a="1"/>
  <c r="Z18" i="10" a="1"/>
  <c r="Z19" i="10" a="1"/>
  <c r="Z20" i="10" a="1"/>
  <c r="Z22" i="10" a="1"/>
  <c r="AC22" i="10" s="1"/>
  <c r="Z23" i="10" a="1"/>
  <c r="AC23" i="10" s="1"/>
  <c r="Z24" i="10" a="1"/>
  <c r="AC24" i="10" s="1"/>
  <c r="Z25" i="10" a="1"/>
  <c r="AC25" i="10" s="1"/>
  <c r="Z26" i="10" a="1"/>
  <c r="AC26" i="10" s="1"/>
  <c r="Z27" i="10" a="1"/>
  <c r="AC27" i="10" s="1"/>
  <c r="Z28" i="10" a="1"/>
  <c r="AC28" i="10" s="1"/>
  <c r="Z29" i="10" a="1"/>
  <c r="AC29" i="10" s="1"/>
  <c r="Z30" i="10" a="1"/>
  <c r="AC30" i="10" s="1"/>
  <c r="Z32" i="10" a="1"/>
  <c r="AC32" i="10" s="1"/>
  <c r="Z33" i="10" a="1"/>
  <c r="AC33" i="10" s="1"/>
  <c r="Z34" i="10" a="1"/>
  <c r="AC34" i="10" s="1"/>
  <c r="Z35" i="10" a="1"/>
  <c r="AC35" i="10" s="1"/>
  <c r="Z36" i="10" a="1"/>
  <c r="AC36" i="10" s="1"/>
  <c r="AG17" i="10"/>
  <c r="AG18" i="10"/>
  <c r="AG19" i="10"/>
  <c r="AG20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Z7" i="10" a="1"/>
  <c r="Z8" i="10" a="1"/>
  <c r="Z9" i="10" a="1"/>
  <c r="Z10" i="10" a="1"/>
  <c r="Z12" i="10" a="1"/>
  <c r="Z13" i="10" a="1"/>
  <c r="Z14" i="10" a="1"/>
  <c r="Z15" i="10" a="1"/>
  <c r="AG7" i="10"/>
  <c r="AG8" i="10"/>
  <c r="AG9" i="10"/>
  <c r="AG10" i="10"/>
  <c r="AG11" i="10"/>
  <c r="AG12" i="10"/>
  <c r="AG13" i="10"/>
  <c r="AG14" i="10"/>
  <c r="AG15" i="10"/>
  <c r="AG16" i="10"/>
  <c r="Z6" i="10" a="1"/>
  <c r="AG6" i="10"/>
  <c r="Z5" i="10" a="1"/>
  <c r="AG5" i="10"/>
  <c r="Z4" i="10" a="1"/>
  <c r="AG4" i="10"/>
  <c r="Z3" i="10" a="1"/>
  <c r="AG3" i="10"/>
  <c r="Z2" i="10" a="1"/>
  <c r="AG2" i="10"/>
  <c r="AA61" i="9"/>
  <c r="AD61" i="9" s="1"/>
  <c r="Z61" i="9"/>
  <c r="Y61" i="9"/>
  <c r="X61" i="9"/>
  <c r="W61" i="9"/>
  <c r="V61" i="9"/>
  <c r="AF61" i="9" s="1"/>
  <c r="AA51" i="9"/>
  <c r="Z51" i="9"/>
  <c r="Y51" i="9"/>
  <c r="X51" i="9"/>
  <c r="AH51" i="9" s="1"/>
  <c r="W51" i="9"/>
  <c r="AG51" i="9" s="1"/>
  <c r="V51" i="9"/>
  <c r="AF51" i="9" s="1"/>
  <c r="AF2" i="9"/>
  <c r="AF3" i="9"/>
  <c r="AF4" i="9"/>
  <c r="AF5" i="9"/>
  <c r="AF6" i="9"/>
  <c r="AF7" i="9"/>
  <c r="AF8" i="9"/>
  <c r="AF9" i="9"/>
  <c r="AF10" i="9"/>
  <c r="AF12" i="9"/>
  <c r="AF13" i="9"/>
  <c r="AF14" i="9"/>
  <c r="AF15" i="9"/>
  <c r="AF16" i="9"/>
  <c r="AF17" i="9"/>
  <c r="AF18" i="9"/>
  <c r="AF19" i="9"/>
  <c r="AF20" i="9"/>
  <c r="AF22" i="9"/>
  <c r="AF23" i="9"/>
  <c r="AF24" i="9"/>
  <c r="AF25" i="9"/>
  <c r="AF26" i="9"/>
  <c r="AF27" i="9"/>
  <c r="AF28" i="9"/>
  <c r="AF29" i="9"/>
  <c r="AF30" i="9"/>
  <c r="AF32" i="9"/>
  <c r="AF33" i="9"/>
  <c r="AF34" i="9"/>
  <c r="AF35" i="9"/>
  <c r="AF36" i="9"/>
  <c r="AF37" i="9"/>
  <c r="AF38" i="9"/>
  <c r="AF39" i="9"/>
  <c r="AF40" i="9"/>
  <c r="AF42" i="9"/>
  <c r="AF43" i="9"/>
  <c r="AF44" i="9"/>
  <c r="AF45" i="9"/>
  <c r="AF46" i="9"/>
  <c r="AF47" i="9"/>
  <c r="AF48" i="9"/>
  <c r="AF49" i="9"/>
  <c r="AF50" i="9"/>
  <c r="AF52" i="9"/>
  <c r="AF53" i="9"/>
  <c r="AF54" i="9"/>
  <c r="AF55" i="9"/>
  <c r="AF56" i="9"/>
  <c r="AF57" i="9"/>
  <c r="AF58" i="9"/>
  <c r="AF59" i="9"/>
  <c r="AF60" i="9"/>
  <c r="AA41" i="9"/>
  <c r="Z41" i="9"/>
  <c r="Y41" i="9"/>
  <c r="X41" i="9"/>
  <c r="AH41" i="9" s="1"/>
  <c r="W41" i="9"/>
  <c r="AG41" i="9" s="1"/>
  <c r="V41" i="9"/>
  <c r="AF41" i="9" s="1"/>
  <c r="AA31" i="9"/>
  <c r="Z31" i="9"/>
  <c r="Y31" i="9"/>
  <c r="X31" i="9"/>
  <c r="AH31" i="9" s="1"/>
  <c r="W31" i="9"/>
  <c r="AG31" i="9" s="1"/>
  <c r="V31" i="9"/>
  <c r="AF31" i="9" s="1"/>
  <c r="AA21" i="9"/>
  <c r="Z21" i="9"/>
  <c r="Y21" i="9"/>
  <c r="X21" i="9"/>
  <c r="AH21" i="9" s="1"/>
  <c r="W21" i="9"/>
  <c r="AG21" i="9" s="1"/>
  <c r="V21" i="9"/>
  <c r="AF21" i="9" s="1"/>
  <c r="W11" i="9"/>
  <c r="AG11" i="9" s="1"/>
  <c r="X11" i="9"/>
  <c r="AH11" i="9" s="1"/>
  <c r="V11" i="9"/>
  <c r="AF11" i="9" s="1"/>
  <c r="AA11" i="9"/>
  <c r="Z11" i="9"/>
  <c r="Y11" i="9"/>
  <c r="Y2" i="9" a="1"/>
  <c r="AB2" i="9" s="1"/>
  <c r="Y3" i="9" a="1"/>
  <c r="AB3" i="9" s="1"/>
  <c r="Y4" i="9" a="1"/>
  <c r="AB4" i="9" s="1"/>
  <c r="Y5" i="9" a="1"/>
  <c r="AB5" i="9" s="1"/>
  <c r="Y6" i="9" a="1"/>
  <c r="AB6" i="9" s="1"/>
  <c r="Y7" i="9" a="1"/>
  <c r="AB7" i="9" s="1"/>
  <c r="Y8" i="9" a="1"/>
  <c r="AB8" i="9" s="1"/>
  <c r="Y9" i="9" a="1"/>
  <c r="AB9" i="9" s="1"/>
  <c r="Y10" i="9" a="1"/>
  <c r="AB10" i="9" s="1"/>
  <c r="Y12" i="9" a="1"/>
  <c r="AB12" i="9" s="1"/>
  <c r="Y13" i="9" a="1"/>
  <c r="AB13" i="9" s="1"/>
  <c r="Y14" i="9" a="1"/>
  <c r="AB14" i="9" s="1"/>
  <c r="Y15" i="9" a="1"/>
  <c r="AB15" i="9" s="1"/>
  <c r="Y16" i="9" a="1"/>
  <c r="AB16" i="9" s="1"/>
  <c r="Y17" i="9" a="1"/>
  <c r="AB17" i="9" s="1"/>
  <c r="Y18" i="9" a="1"/>
  <c r="AB18" i="9" s="1"/>
  <c r="Y19" i="9" a="1"/>
  <c r="AB19" i="9" s="1"/>
  <c r="Y20" i="9" a="1"/>
  <c r="AB20" i="9" s="1"/>
  <c r="Y22" i="9" a="1"/>
  <c r="AB22" i="9" s="1"/>
  <c r="Y23" i="9" a="1"/>
  <c r="AB23" i="9" s="1"/>
  <c r="Y24" i="9" a="1"/>
  <c r="AB24" i="9" s="1"/>
  <c r="Y25" i="9" a="1"/>
  <c r="AB25" i="9" s="1"/>
  <c r="Y26" i="9" a="1"/>
  <c r="AB26" i="9" s="1"/>
  <c r="Y27" i="9" a="1"/>
  <c r="AB27" i="9" s="1"/>
  <c r="Y28" i="9" a="1"/>
  <c r="AB28" i="9" s="1"/>
  <c r="Y29" i="9" a="1"/>
  <c r="AB29" i="9" s="1"/>
  <c r="Y30" i="9" a="1"/>
  <c r="AB30" i="9" s="1"/>
  <c r="Y32" i="9" a="1"/>
  <c r="AB32" i="9" s="1"/>
  <c r="Y33" i="9" a="1"/>
  <c r="AB33" i="9" s="1"/>
  <c r="Y34" i="9" a="1"/>
  <c r="AB34" i="9" s="1"/>
  <c r="Y35" i="9" a="1"/>
  <c r="AB35" i="9" s="1"/>
  <c r="Y36" i="9" a="1"/>
  <c r="AB36" i="9" s="1"/>
  <c r="Y37" i="9" a="1"/>
  <c r="AB37" i="9" s="1"/>
  <c r="Y38" i="9" a="1"/>
  <c r="AB38" i="9" s="1"/>
  <c r="Y39" i="9" a="1"/>
  <c r="AB39" i="9" s="1"/>
  <c r="Y40" i="9" a="1"/>
  <c r="AB40" i="9" s="1"/>
  <c r="Y42" i="9" a="1"/>
  <c r="AB42" i="9" s="1"/>
  <c r="Y43" i="9" a="1"/>
  <c r="AB43" i="9" s="1"/>
  <c r="Y44" i="9" a="1"/>
  <c r="AB44" i="9" s="1"/>
  <c r="Y45" i="9" a="1"/>
  <c r="AB45" i="9" s="1"/>
  <c r="Y46" i="9" a="1"/>
  <c r="AB46" i="9" s="1"/>
  <c r="Y47" i="9" a="1"/>
  <c r="AB47" i="9" s="1"/>
  <c r="Y48" i="9" a="1"/>
  <c r="AB48" i="9" s="1"/>
  <c r="Y49" i="9" a="1"/>
  <c r="AB49" i="9" s="1"/>
  <c r="Y50" i="9" a="1"/>
  <c r="AB50" i="9" s="1"/>
  <c r="Y52" i="9" a="1"/>
  <c r="AB52" i="9" s="1"/>
  <c r="Y53" i="9" a="1"/>
  <c r="AB53" i="9" s="1"/>
  <c r="Y54" i="9" a="1"/>
  <c r="AB54" i="9" s="1"/>
  <c r="Y55" i="9" a="1"/>
  <c r="AB55" i="9" s="1"/>
  <c r="Y56" i="9" a="1"/>
  <c r="AB56" i="9" s="1"/>
  <c r="Y57" i="9" a="1"/>
  <c r="AB57" i="9" s="1"/>
  <c r="Y58" i="9" a="1"/>
  <c r="AB58" i="9" s="1"/>
  <c r="Y59" i="9" a="1"/>
  <c r="AB59" i="9" s="1"/>
  <c r="Y60" i="9" a="1"/>
  <c r="AB60" i="9" s="1"/>
  <c r="M18" i="9"/>
  <c r="N18" i="9" s="1"/>
  <c r="M19" i="9"/>
  <c r="N19" i="9" s="1"/>
  <c r="M20" i="9"/>
  <c r="N20" i="9"/>
  <c r="M12" i="9"/>
  <c r="N12" i="9" s="1"/>
  <c r="M13" i="9"/>
  <c r="N13" i="9" s="1"/>
  <c r="M14" i="9"/>
  <c r="N14" i="9" s="1"/>
  <c r="M15" i="9"/>
  <c r="N15" i="9" s="1"/>
  <c r="M16" i="9"/>
  <c r="N16" i="9" s="1"/>
  <c r="M17" i="9"/>
  <c r="N17" i="9" s="1"/>
  <c r="M21" i="9"/>
  <c r="N21" i="9" s="1"/>
  <c r="M7" i="9"/>
  <c r="N7" i="9" s="1"/>
  <c r="M8" i="9"/>
  <c r="N8" i="9" s="1"/>
  <c r="M9" i="9"/>
  <c r="N9" i="9" s="1"/>
  <c r="M10" i="9"/>
  <c r="N10" i="9" s="1"/>
  <c r="M11" i="9"/>
  <c r="N11" i="9" s="1"/>
  <c r="M61" i="9"/>
  <c r="N61" i="9" s="1"/>
  <c r="M60" i="9"/>
  <c r="N60" i="9" s="1"/>
  <c r="M59" i="9"/>
  <c r="N59" i="9" s="1"/>
  <c r="M58" i="9"/>
  <c r="N58" i="9" s="1"/>
  <c r="M57" i="9"/>
  <c r="N57" i="9" s="1"/>
  <c r="M56" i="9"/>
  <c r="N56" i="9" s="1"/>
  <c r="M55" i="9"/>
  <c r="N55" i="9" s="1"/>
  <c r="M54" i="9"/>
  <c r="N54" i="9" s="1"/>
  <c r="M53" i="9"/>
  <c r="N53" i="9" s="1"/>
  <c r="M52" i="9"/>
  <c r="N52" i="9" s="1"/>
  <c r="M51" i="9"/>
  <c r="N51" i="9" s="1"/>
  <c r="M50" i="9"/>
  <c r="N50" i="9" s="1"/>
  <c r="M49" i="9"/>
  <c r="N49" i="9" s="1"/>
  <c r="M48" i="9"/>
  <c r="N48" i="9" s="1"/>
  <c r="M47" i="9"/>
  <c r="N47" i="9" s="1"/>
  <c r="M46" i="9"/>
  <c r="N46" i="9" s="1"/>
  <c r="M45" i="9"/>
  <c r="N45" i="9" s="1"/>
  <c r="M44" i="9"/>
  <c r="N44" i="9" s="1"/>
  <c r="M43" i="9"/>
  <c r="N43" i="9" s="1"/>
  <c r="M42" i="9"/>
  <c r="N42" i="9" s="1"/>
  <c r="M41" i="9"/>
  <c r="N41" i="9" s="1"/>
  <c r="M40" i="9"/>
  <c r="N40" i="9" s="1"/>
  <c r="M39" i="9"/>
  <c r="N39" i="9" s="1"/>
  <c r="M38" i="9"/>
  <c r="N38" i="9" s="1"/>
  <c r="M37" i="9"/>
  <c r="N37" i="9" s="1"/>
  <c r="M36" i="9"/>
  <c r="N36" i="9" s="1"/>
  <c r="M35" i="9"/>
  <c r="N35" i="9" s="1"/>
  <c r="M34" i="9"/>
  <c r="N34" i="9" s="1"/>
  <c r="M33" i="9"/>
  <c r="N33" i="9" s="1"/>
  <c r="M32" i="9"/>
  <c r="N32" i="9" s="1"/>
  <c r="M31" i="9"/>
  <c r="N31" i="9" s="1"/>
  <c r="M30" i="9"/>
  <c r="N30" i="9" s="1"/>
  <c r="M29" i="9"/>
  <c r="N29" i="9" s="1"/>
  <c r="M28" i="9"/>
  <c r="N28" i="9" s="1"/>
  <c r="M27" i="9"/>
  <c r="N27" i="9" s="1"/>
  <c r="M26" i="9"/>
  <c r="N26" i="9" s="1"/>
  <c r="M25" i="9"/>
  <c r="N25" i="9" s="1"/>
  <c r="M24" i="9"/>
  <c r="N24" i="9" s="1"/>
  <c r="M23" i="9"/>
  <c r="N23" i="9" s="1"/>
  <c r="M22" i="9"/>
  <c r="N22" i="9" s="1"/>
  <c r="M6" i="9"/>
  <c r="N6" i="9" s="1"/>
  <c r="M5" i="9"/>
  <c r="N5" i="9" s="1"/>
  <c r="M4" i="9"/>
  <c r="N4" i="9" s="1"/>
  <c r="M3" i="9"/>
  <c r="N3" i="9" s="1"/>
  <c r="M2" i="9"/>
  <c r="N2" i="9" s="1"/>
  <c r="AC61" i="9" l="1"/>
  <c r="AB61" i="9"/>
  <c r="AD51" i="9"/>
  <c r="AC51" i="9"/>
  <c r="AB51" i="9"/>
  <c r="AE21" i="10"/>
  <c r="AD21" i="10"/>
  <c r="AC21" i="10"/>
  <c r="AB21" i="9"/>
  <c r="AB31" i="9"/>
  <c r="AD31" i="9"/>
  <c r="AC21" i="9"/>
  <c r="AC31" i="9"/>
  <c r="AD21" i="9"/>
  <c r="AB11" i="9"/>
  <c r="AD11" i="9"/>
  <c r="AC11" i="9"/>
  <c r="AD41" i="9"/>
  <c r="AC41" i="9"/>
  <c r="AB41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<sst xmlns="http://schemas.openxmlformats.org/spreadsheetml/2006/main" count="3258" uniqueCount="201">
  <si>
    <t>Datum</t>
  </si>
  <si>
    <t>Proben#</t>
  </si>
  <si>
    <t>Temperatur [°C]</t>
  </si>
  <si>
    <t>Bead-Verdünnung</t>
  </si>
  <si>
    <t>Anzahl Frames</t>
  </si>
  <si>
    <t>Material</t>
  </si>
  <si>
    <t>Codierung</t>
  </si>
  <si>
    <t>Anmerkung</t>
  </si>
  <si>
    <t>Aufnahmezeit [s]</t>
  </si>
  <si>
    <t>Objektiv [fach]</t>
  </si>
  <si>
    <t>#</t>
  </si>
  <si>
    <t>ddWasser</t>
  </si>
  <si>
    <t>1:5000</t>
  </si>
  <si>
    <t>Uhrzeit Beginn</t>
  </si>
  <si>
    <t>Herstellung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</si>
  <si>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</si>
  <si>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</si>
  <si>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</si>
  <si>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</si>
  <si>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</si>
  <si>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</si>
  <si>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</si>
  <si>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</si>
  <si>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</si>
  <si>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</si>
  <si>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</si>
  <si>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</si>
  <si>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</si>
  <si>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</si>
  <si>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</si>
  <si>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</si>
  <si>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</si>
  <si>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</si>
  <si>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</si>
  <si>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</si>
  <si>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</si>
  <si>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</si>
  <si>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</si>
  <si>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</si>
  <si>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</si>
  <si>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Luftfeuchtigkeit [%]</t>
  </si>
  <si>
    <t>Dateiname</t>
  </si>
  <si>
    <t xml:space="preserve">Mean fps </t>
  </si>
  <si>
    <t>Frame_intervall</t>
  </si>
  <si>
    <t>MiVis (Methode 1) [mPas]</t>
  </si>
  <si>
    <t>MiVis (Methode 2) [mPas]</t>
  </si>
  <si>
    <t>MiVis (Methode 3) [mPas]</t>
  </si>
  <si>
    <t>Anmerkung zur Auswertung</t>
  </si>
  <si>
    <t>Mean Visc. 1 [mPas]</t>
  </si>
  <si>
    <t>Mean Visc. 2 [mPas]2</t>
  </si>
  <si>
    <t>Mean Visc. 3 [mPas]3</t>
  </si>
  <si>
    <t>Sucrose(20%)</t>
  </si>
  <si>
    <t>Sucrose(10%)</t>
  </si>
  <si>
    <t>Sucrose(30%)</t>
  </si>
  <si>
    <t>Sucrose(40%)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</si>
  <si>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</si>
  <si>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</si>
  <si>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</si>
  <si>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</si>
  <si>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</si>
  <si>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</si>
  <si>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</si>
  <si>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</si>
  <si>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</si>
  <si>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</si>
  <si>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</si>
  <si>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</si>
  <si>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</si>
  <si>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</si>
  <si>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</si>
  <si>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</si>
  <si>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</si>
  <si>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</si>
  <si>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</si>
  <si>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</si>
  <si>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</si>
  <si>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</si>
  <si>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</si>
  <si>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</si>
  <si>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</si>
  <si>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</si>
  <si>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</si>
  <si>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</si>
  <si>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</si>
  <si>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</si>
  <si>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</si>
  <si>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</si>
  <si>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</si>
  <si>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</si>
  <si>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</si>
  <si>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20260120_3Kalib_V1</t>
  </si>
  <si>
    <t>20260120_3Kalib_V2</t>
  </si>
  <si>
    <t>20260120_3Kalib_V3</t>
  </si>
  <si>
    <t>20260120_3Kalib_V4</t>
  </si>
  <si>
    <t>20260120_3Kalib_V5</t>
  </si>
  <si>
    <t>20260120_3Kalib_V6</t>
  </si>
  <si>
    <t>20260120_3Kalib_V7</t>
  </si>
  <si>
    <t>20260120_3Kalib_V8</t>
  </si>
  <si>
    <t>20260120_3Kalib_V9</t>
  </si>
  <si>
    <t>20260120_3Kalib_V10</t>
  </si>
  <si>
    <t>20260120_3Kalib_V11</t>
  </si>
  <si>
    <t>20260120_3Kalib_V12</t>
  </si>
  <si>
    <t>20260120_3Kalib_V13</t>
  </si>
  <si>
    <t>20260120_3Kalib_V14</t>
  </si>
  <si>
    <t>20260120_3Kalib_V15</t>
  </si>
  <si>
    <t>20260120_3Kalib_V16</t>
  </si>
  <si>
    <t>20260120_3Kalib_V17</t>
  </si>
  <si>
    <t>20260120_3Kalib_V18</t>
  </si>
  <si>
    <t>20260120_3Kalib_V19</t>
  </si>
  <si>
    <t>20260120_3Kalib_V20</t>
  </si>
  <si>
    <t>20260120_3Kalib_V21</t>
  </si>
  <si>
    <t>20260120_3Kalib_V22</t>
  </si>
  <si>
    <t>20260120_3Kalib_V23</t>
  </si>
  <si>
    <t>20260120_3Kalib_V24</t>
  </si>
  <si>
    <t>20260120_3Kalib_V25</t>
  </si>
  <si>
    <t>20260120_3Kalib_V26</t>
  </si>
  <si>
    <t>20260120_3Kalib_V27</t>
  </si>
  <si>
    <t>20260120_3Kalib_V28</t>
  </si>
  <si>
    <t>20260120_3Kalib_V29</t>
  </si>
  <si>
    <t>20260120_3Kalib_V30</t>
  </si>
  <si>
    <t>20260120_3Kalib_V31</t>
  </si>
  <si>
    <t>20260120_3Kalib_V32</t>
  </si>
  <si>
    <t>20260120_3Kalib_V33</t>
  </si>
  <si>
    <t>20260120_3Kalib_V34</t>
  </si>
  <si>
    <t>20260120_3Kalib_V35</t>
  </si>
  <si>
    <t>20260120_3Kalib_V36</t>
  </si>
  <si>
    <t>20260120_3Kalib_V37</t>
  </si>
  <si>
    <t>20260120_3Kalib_V38</t>
  </si>
  <si>
    <t>20260120_3Kalib_V39</t>
  </si>
  <si>
    <t>20260120_3Kalib_V40</t>
  </si>
  <si>
    <t>20260120_3Kalib_V41</t>
  </si>
  <si>
    <t>20260120_3Kalib_V42</t>
  </si>
  <si>
    <t>20260120_3Kalib_V43</t>
  </si>
  <si>
    <t>20260120_3Kalib_V44</t>
  </si>
  <si>
    <t>20260120_3Kalib_V45</t>
  </si>
  <si>
    <t>20260120_3Kalib_V46</t>
  </si>
  <si>
    <t>20260120_3Kalib_V47</t>
  </si>
  <si>
    <t>20260120_3Kalib_V48</t>
  </si>
  <si>
    <t>20260120_3Kalib_V49</t>
  </si>
  <si>
    <t>20260120_3Kalib_V50</t>
  </si>
  <si>
    <t>Standardabweichung 1</t>
  </si>
  <si>
    <t>Standardabweichung 2</t>
  </si>
  <si>
    <t>Standardabweichung 3</t>
  </si>
  <si>
    <t>CV 1</t>
  </si>
  <si>
    <t>CV 2</t>
  </si>
  <si>
    <t>CV 3</t>
  </si>
  <si>
    <t>RefWert</t>
  </si>
  <si>
    <t>Abweichung zum RefWert 1</t>
  </si>
  <si>
    <t>Abweichung zum RefWert 2</t>
  </si>
  <si>
    <t>Abweichung zum RefWert 3</t>
  </si>
  <si>
    <t>20260120_3Kalib_V51</t>
  </si>
  <si>
    <t>20260120_3Kalib_V52</t>
  </si>
  <si>
    <t>20260120_3Kalib_V53</t>
  </si>
  <si>
    <t>20260120_3Kalib_V54</t>
  </si>
  <si>
    <t>20260120_3Kalib_V55</t>
  </si>
  <si>
    <t>20260120_3Kalib_V56</t>
  </si>
  <si>
    <t>20260120_3Kalib_V57</t>
  </si>
  <si>
    <t>20260120_3Kalib_V58</t>
  </si>
  <si>
    <t>20260120_3Kalib_V59</t>
  </si>
  <si>
    <t>20260120_3Kalib_V60</t>
  </si>
  <si>
    <t>fresh</t>
  </si>
  <si>
    <t>cooled (6°C)</t>
  </si>
  <si>
    <t>Aliquot</t>
  </si>
  <si>
    <t>1d</t>
  </si>
  <si>
    <t>2d</t>
  </si>
  <si>
    <t>HL0426</t>
  </si>
  <si>
    <t>postOP14d</t>
  </si>
  <si>
    <t>HL1026</t>
  </si>
  <si>
    <t>postOP2d</t>
  </si>
  <si>
    <t>HL1126</t>
  </si>
  <si>
    <t>postOP1d</t>
  </si>
  <si>
    <t>HL0626</t>
  </si>
  <si>
    <t>Beutel</t>
  </si>
  <si>
    <t>HL0526</t>
  </si>
  <si>
    <t>HL0826</t>
  </si>
  <si>
    <t>postOP7d</t>
  </si>
  <si>
    <t>Probe</t>
  </si>
  <si>
    <t>Differenzierung</t>
  </si>
  <si>
    <t>Datum_Sammlung</t>
  </si>
  <si>
    <t>SD 1</t>
  </si>
  <si>
    <t>SD 2</t>
  </si>
  <si>
    <t>SD 3</t>
  </si>
  <si>
    <t>HL0326</t>
  </si>
  <si>
    <t>HL0226</t>
  </si>
  <si>
    <t>intraOPEx</t>
  </si>
  <si>
    <t>frozen</t>
  </si>
  <si>
    <t>nativ</t>
  </si>
  <si>
    <t>Retentat</t>
  </si>
  <si>
    <t>Filtrat</t>
  </si>
  <si>
    <t>HL1226</t>
  </si>
  <si>
    <t>intraOPIm_fresh</t>
  </si>
  <si>
    <t>intraOPIm_frozen</t>
  </si>
  <si>
    <t>postOP1d_fresh</t>
  </si>
  <si>
    <t>postOP1d_frozen</t>
  </si>
  <si>
    <t>postOP2d_fresh</t>
  </si>
  <si>
    <t>postOP2d_frozen</t>
  </si>
  <si>
    <t>ddWater</t>
  </si>
  <si>
    <t>postOP7d_fresh</t>
  </si>
  <si>
    <t>frisch</t>
  </si>
  <si>
    <t>postOP14d_fresh</t>
  </si>
  <si>
    <t>24,4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</si>
</sst>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Standard" xfId="0" builtinId="0"/>
  </cellStyles>
  <dxfs count="15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</dxf>
    <dxf>
      <numFmt numFmtId="19" formatCode="dd/mm/yyyy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</dxf>
    <dxf>
      <numFmt numFmtId="19" formatCode="dd/mm/yyyy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</dxf>
    <dxf>
      <numFmt numFmtId="19" formatCode="dd/mm/yyyy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</dxf>
    <dxf>
      <numFmt numFmtId="19" formatCode="dd/mm/yyyy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</dxf>
    <dxf>
      <numFmt numFmtId="19" formatCode="dd/mm/yyyy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19d8df75ddafd4c/Dokumente/PROMOTION/ARBEIT/Methoden/Statistik/Messungen_Patienten_mitMakro.xlsm" TargetMode="External"/><Relationship Id="rId1" Type="http://schemas.openxmlformats.org/officeDocument/2006/relationships/externalLinkPath" Target="Messungen_Patienten_mitMak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PT_Vorlage"/>
      <sheetName val="Übersicht"/>
      <sheetName val="VPT_Gesamt"/>
      <sheetName val="VPT_HL0126"/>
      <sheetName val="VPT_HL0226"/>
      <sheetName val="VPT_HL0326"/>
      <sheetName val="VPT_HL0426"/>
      <sheetName val="VPT_HL0526"/>
      <sheetName val="VPT_HL0626"/>
      <sheetName val="VPT_verschZ"/>
      <sheetName val="VPT_HL0826"/>
      <sheetName val="VPT_HL1026"/>
      <sheetName val="VPT_HL1126"/>
      <sheetName val="VPT_HL1226"/>
      <sheetName val="VPT_HL1326"/>
      <sheetName val="VPT_HL1426"/>
      <sheetName val="VPT_HL1726"/>
      <sheetName val="VPT_HL2026"/>
      <sheetName val="VPT_HL2126"/>
      <sheetName val="VPT_HL2326"/>
      <sheetName val="VPT_HL2526"/>
      <sheetName val="VPT_HL2626"/>
      <sheetName val="VPT_HL2726"/>
      <sheetName val="VPT_HL3226"/>
      <sheetName val="TestWarm"/>
      <sheetName val="VPT_VergleichFilterOhneFilter"/>
      <sheetName val="VPT_Vorlage_neu"/>
      <sheetName val="Tabelle1"/>
      <sheetName val="Messungen_Patienten_mitMak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2AEF99-CC12-4F74-816D-AD5E5E1BCF70}" name="Tabelle156" displayName="Tabelle156" ref="A1:AH71" totalsRowShown="0" headerRowDxfId="128" dataDxfId="127">
  <autoFilter ref="A1:AH71" xr:uid="{69BE8330-4DED-4761-B383-7A999EABAE1D}"/>
  <tableColumns count="34">
    <tableColumn id="1" xr3:uid="{690D2175-9F1E-4B61-8189-069CC976A6A6}" name="#"/>
    <tableColumn id="2" xr3:uid="{24BEB5A1-26C1-4E42-A018-98942A250CC8}" name="Datum" dataDxfId="126"/>
    <tableColumn id="3" xr3:uid="{EACE3DDA-CA5A-4CB7-802D-4773CCA8635F}" name="Uhrzeit Beginn" dataDxfId="125"/>
    <tableColumn id="4" xr3:uid="{BC5A4901-CA0D-462A-A75C-2B856D1C4660}" name="Proben#" dataDxfId="124"/>
    <tableColumn id="5" xr3:uid="{88928155-FDD8-4C8B-9780-48193CD10864}" name="Codierung"/>
    <tableColumn id="6" xr3:uid="{93113806-341D-45F3-A47B-86695CEEC8AC}" name="Material"/>
    <tableColumn id="7" xr3:uid="{063B0B69-B517-4C4C-8426-2CBDBA93DEA8}" name="Herstellung" dataDxfId="123"/>
    <tableColumn id="8" xr3:uid="{E668097C-4AB5-4669-8199-AB950D011EA1}" name="Bead-Verdünnung" dataDxfId="122"/>
    <tableColumn id="9" xr3:uid="{BA28D099-29AA-4636-BDEB-98A5BD916AA4}" name="Temperatur [°C]" dataDxfId="121"/>
    <tableColumn id="14" xr3:uid="{45A77F73-2118-4021-B1B1-BD6BB0EDCCEB}" name="Luftfeuchtigkeit [%]" dataDxfId="120"/>
    <tableColumn id="10" xr3:uid="{8F69F543-5240-4A5A-9ABC-383EF55387A3}" name="Aufnahmezeit [s]" dataDxfId="119"/>
    <tableColumn id="11" xr3:uid="{AC1070E9-E0AC-4285-8F84-DC743F36C553}" name="Anzahl Frames" dataDxfId="118"/>
    <tableColumn id="16" xr3:uid="{49BD1A0E-54B9-4DD2-A763-C4F1315C3556}" name="Mean fps " dataDxfId="117">
      <calculatedColumnFormula>Tabelle156[[#This Row],[Anzahl Frames]]/Tabelle156[[#This Row],[Aufnahmezeit '[s']]]</calculatedColumnFormula>
    </tableColumn>
    <tableColumn id="17" xr3:uid="{7E35502D-43A8-44E5-A696-AE05F807E50D}" name="Frame_intervall" dataDxfId="116">
      <calculatedColumnFormula>1/Tabelle156[[#This Row],[Mean fps ]]</calculatedColumnFormula>
    </tableColumn>
    <tableColumn id="12" xr3:uid="{217663EF-1486-404B-ADD3-E2DD9C1804EA}" name="Objektiv [fach]" dataDxfId="115"/>
    <tableColumn id="13" xr3:uid="{24B66CD1-FC39-43FC-9AA8-A102BBFD7E52}" name="Anmerkung" dataDxfId="114"/>
    <tableColumn id="15" xr3:uid="{8BD78D14-ACF6-4781-ACBF-5E77E5109E08}" name="Dateiname" dataDxfId="113"/>
    <tableColumn id="18" xr3:uid="{805D2F51-4140-4317-BDB8-109605C1D889}" name="MiVis (Methode 1) [mPas]" dataDxfId="112"/>
    <tableColumn id="19" xr3:uid="{3DA57DF4-472A-4F19-954F-C5B5D8CD6613}" name="MiVis (Methode 2) [mPas]" dataDxfId="111"/>
    <tableColumn id="20" xr3:uid="{41368906-9932-4916-B3EE-FDDF0409499E}" name="MiVis (Methode 3) [mPas]" dataDxfId="110"/>
    <tableColumn id="21" xr3:uid="{63E71FC5-7CCA-48A6-ACEC-75EB1CB0924E}" name="Anmerkung zur Auswertung" dataDxfId="109"/>
    <tableColumn id="22" xr3:uid="{44421F35-8502-4532-97B6-CB41086F2B74}" name="Mean Visc. 1 [mPas]" dataDxfId="108"/>
    <tableColumn id="23" xr3:uid="{6509185E-6341-41CB-87B0-1D7B0B0E3910}" name="Mean Visc. 2 [mPas]2" dataDxfId="107"/>
    <tableColumn id="24" xr3:uid="{A935A6EA-F1BC-466B-A1CA-0AFF2A272EA7}" name="Mean Visc. 3 [mPas]3" dataDxfId="106"/>
    <tableColumn id="25" xr3:uid="{D0612554-3323-4186-957C-8D41B19151A9}" name="Standardabweichung 1" dataDxfId="105">
      <calculatedColumnFormula array="1">STABW</calculatedColumnFormula>
    </tableColumn>
    <tableColumn id="26" xr3:uid="{D94E0BA0-579C-41D6-803C-30350A07C05C}" name="Standardabweichung 2" dataDxfId="104"/>
    <tableColumn id="27" xr3:uid="{945765E3-63EB-4D94-BAED-30E350676E75}" name="Standardabweichung 3" dataDxfId="103"/>
    <tableColumn id="28" xr3:uid="{09F808DD-AEA5-4AB4-8D8A-15FD0AB80D5F}" name="CV 1" dataDxfId="102">
      <calculatedColumnFormula>Tabelle156[[#This Row],[Standardabweichung 1]]/Tabelle156[[#This Row],[Mean Visc. 1 '[mPas']]]</calculatedColumnFormula>
    </tableColumn>
    <tableColumn id="29" xr3:uid="{FF867698-DA8A-4417-874E-B8EE8244371C}" name="CV 2" dataDxfId="101"/>
    <tableColumn id="30" xr3:uid="{2F69FCE8-035D-49C0-A446-F5D5D420FE2A}" name="CV 3" dataDxfId="100"/>
    <tableColumn id="32" xr3:uid="{4F3E9EC1-AB55-49FC-8053-3351F8811B09}" name="RefWert" dataDxfId="99"/>
    <tableColumn id="31" xr3:uid="{AA83FE8A-2DFB-464C-B2C6-4E48E616A944}" name="Abweichung zum RefWert 1" dataDxfId="98">
      <calculatedColumnFormula>1-Tabelle156[[#This Row],[Mean Visc. 1 '[mPas']]]/$AE$2</calculatedColumnFormula>
    </tableColumn>
    <tableColumn id="33" xr3:uid="{6D7D22E8-7923-497A-816B-37B365ED665A}" name="Abweichung zum RefWert 2" dataDxfId="97"/>
    <tableColumn id="34" xr3:uid="{5A35AC71-5793-4F89-A528-69297B8A8DA5}" name="Abweichung zum RefWert 3" dataDxfId="96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4E0A78-92AB-4327-BEBC-EA2D5C24A2A9}" name="Tabelle1321011121517" displayName="Tabelle1321011121517" ref="A1:AE201" totalsRowShown="0" headerRowDxfId="95" dataDxfId="94">
  <autoFilter ref="A1:AE201" xr:uid="{69BE8330-4DED-4761-B383-7A999EABAE1D}"/>
  <tableColumns count="31">
    <tableColumn id="1" xr3:uid="{C3DA6315-83EA-42D5-B639-50175E075C66}" name="#"/>
    <tableColumn id="2" xr3:uid="{C64F7112-59A3-4B93-889B-3F3997A16405}" name="Datum" dataDxfId="93"/>
    <tableColumn id="3" xr3:uid="{31ADBA20-F1D8-4D69-852E-2B91E4CD51A9}" name="Uhrzeit Beginn" dataDxfId="92"/>
    <tableColumn id="4" xr3:uid="{7F80C057-929B-4F9A-BCCB-F3D467750908}" name="Probe" dataDxfId="91"/>
    <tableColumn id="5" xr3:uid="{4655F2D1-9614-4F40-9E01-5C0087413E08}" name="Codierung"/>
    <tableColumn id="6" xr3:uid="{0E1D63BE-9E5E-42FC-8E50-6643694A3B31}" name="Differenzierung"/>
    <tableColumn id="25" xr3:uid="{35C32B47-5AAA-44D0-ABE1-703CACF95056}" name="Datum_Sammlung" dataDxfId="90"/>
    <tableColumn id="7" xr3:uid="{AC0A74F2-8B34-4AE8-93E1-54F778CBD511}" name="Herstellung" dataDxfId="89"/>
    <tableColumn id="8" xr3:uid="{C4AF6F19-E982-4F4E-874B-C8D08BE0360E}" name="Bead-Verdünnung" dataDxfId="88"/>
    <tableColumn id="9" xr3:uid="{3AC789B4-FCB5-4ACA-A75E-CA188F210D19}" name="Temperatur [°C]" dataDxfId="87"/>
    <tableColumn id="14" xr3:uid="{B2F20E8C-4537-400A-A004-78FAE9999A8F}" name="Luftfeuchtigkeit [%]" dataDxfId="86"/>
    <tableColumn id="10" xr3:uid="{C8D932BD-7755-46E4-A448-ABB65E9D5308}" name="Aufnahmezeit [s]" dataDxfId="85"/>
    <tableColumn id="11" xr3:uid="{0D80C62F-3A33-4936-BDE4-7A31EBF29583}" name="Anzahl Frames" dataDxfId="84"/>
    <tableColumn id="16" xr3:uid="{F3FB8598-4439-49BF-A5FB-2092E046A821}" name="Mean fps " dataDxfId="83">
      <calculatedColumnFormula>[1]!Tabelle1325[[#This Row],[Anzahl Frames]]/[1]!Tabelle1325[[#This Row],[Aufnahmezeit '[s']]]</calculatedColumnFormula>
    </tableColumn>
    <tableColumn id="17" xr3:uid="{269486B8-2FCB-4A33-BE32-7121CED580F7}" name="Frame_intervall" dataDxfId="82">
      <calculatedColumnFormula>1/[1]!Tabelle1325[[#This Row],[Mean fps ]]</calculatedColumnFormula>
    </tableColumn>
    <tableColumn id="12" xr3:uid="{8D42DFE1-5F38-40EA-A32E-15007A369200}" name="Objektiv [fach]" dataDxfId="81"/>
    <tableColumn id="13" xr3:uid="{0DB33BA3-904E-4910-8ACA-3435AFBCAF72}" name="Anmerkung" dataDxfId="80"/>
    <tableColumn id="15" xr3:uid="{9CB4C91D-7350-4750-9FDE-1FDAC5AC2604}" name="Dateiname" dataDxfId="79"/>
    <tableColumn id="18" xr3:uid="{E174369C-B334-4889-B956-1670CB719862}" name="MiVis (Methode 1) [mPas]" dataDxfId="78"/>
    <tableColumn id="19" xr3:uid="{E31558AD-91EF-466A-BCB1-C2EABA6B7A31}" name="MiVis (Methode 2) [mPas]" dataDxfId="77"/>
    <tableColumn id="20" xr3:uid="{BA17B03B-80AC-4FE4-A440-FC937582F891}" name="MiVis (Methode 3) [mPas]" dataDxfId="76"/>
    <tableColumn id="21" xr3:uid="{142CCDA7-1063-41C1-9B5D-AE29B9AA696C}" name="Anmerkung zur Auswertung" dataDxfId="75"/>
    <tableColumn id="22" xr3:uid="{47A638C2-0DCD-4E0C-BA24-F77B8BB16DF8}" name="Mean Visc. 1 [mPas]" dataDxfId="74"/>
    <tableColumn id="23" xr3:uid="{A0D765E2-7984-45C8-9A61-70365EB8A945}" name="Mean Visc. 2 [mPas]2" dataDxfId="73"/>
    <tableColumn id="24" xr3:uid="{C6825525-326A-406A-A3F9-D30AD53BA66F}" name="Mean Visc. 3 [mPas]3" dataDxfId="72"/>
    <tableColumn id="26" xr3:uid="{C1130CED-4884-4C9A-BF07-A947A33DE93C}" name="SD 1" dataDxfId="71"/>
    <tableColumn id="27" xr3:uid="{312ED439-AF5C-4832-ABE0-32FFE75B6EA5}" name="SD 2" dataDxfId="70"/>
    <tableColumn id="28" xr3:uid="{AD0C2F66-8879-4145-A83C-B37AAEA4DD6F}" name="SD 3" dataDxfId="69"/>
    <tableColumn id="29" xr3:uid="{4CC1E9E5-EAB4-4A42-B340-0D37B1A99398}" name="CV 1" dataDxfId="68">
      <calculatedColumnFormula>Tabelle1321011121517[[#This Row],[SD 1]]/Tabelle1321011121517[[#This Row],[Mean Visc. 1 '[mPas']]]</calculatedColumnFormula>
    </tableColumn>
    <tableColumn id="30" xr3:uid="{6A667068-CDDA-4284-B8BC-9FFA25A13FE0}" name="CV 2" dataDxfId="67">
      <calculatedColumnFormula>[1]!Tabelle1325[[#This Row],[SD 2]]/[1]!Tabelle1325[[#This Row],[Mean Visc. 2 '[mPas']2]]</calculatedColumnFormula>
    </tableColumn>
    <tableColumn id="31" xr3:uid="{13C80310-4583-4EFD-A629-B89B2A7CED83}" name="CV 3" dataDxfId="66">
      <calculatedColumnFormula>[1]!Tabelle1325[[#This Row],[SD 3]]/[1]!Tabelle1325[[#This Row],[Mean Visc. 3 '[mPas']3]]</calculatedColumnFormula>
    </tableColumn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088DBA-BDD3-443B-81E8-26D0D5E72030}" name="Tabelle1563" displayName="Tabelle1563" ref="A1:AI221" totalsRowShown="0" headerRowDxfId="65" dataDxfId="64">
  <autoFilter ref="A1:AI221" xr:uid="{69BE8330-4DED-4761-B383-7A999EABAE1D}"/>
  <tableColumns count="35">
    <tableColumn id="1" xr3:uid="{86AC60A9-A887-46D2-ABD4-7C895BB66AE0}" name="#"/>
    <tableColumn id="2" xr3:uid="{7676FFAF-EB02-4DFE-9378-F7A0915C53EC}" name="Datum" dataDxfId="63"/>
    <tableColumn id="3" xr3:uid="{AA43CA0D-BB26-4619-8EE6-17D3D9D81A84}" name="Uhrzeit Beginn" dataDxfId="62"/>
    <tableColumn id="4" xr3:uid="{B8E0C4D2-1E3A-4EFA-B1D5-F1F1E0353FB9}" name="Probe" dataDxfId="61"/>
    <tableColumn id="5" xr3:uid="{61D32999-A177-4E65-BC6D-A05F9E00BD19}" name="Codierung"/>
    <tableColumn id="35" xr3:uid="{ABB9AD29-4FF3-4A95-BF47-E94B27209C6D}" name="Aliquot"/>
    <tableColumn id="6" xr3:uid="{B128E6DB-1A4C-44B2-BB02-81E100D26548}" name="Material"/>
    <tableColumn id="7" xr3:uid="{740BCAB1-AC3D-4B45-BA57-CFEC8289609E}" name="Herstellung" dataDxfId="60"/>
    <tableColumn id="8" xr3:uid="{10D724AE-EB18-4C4F-BD9A-2DB57E2BBF49}" name="Bead-Verdünnung" dataDxfId="59"/>
    <tableColumn id="9" xr3:uid="{2D7EA509-5909-4158-A612-EAF63ED7E0F8}" name="Temperatur [°C]" dataDxfId="58"/>
    <tableColumn id="14" xr3:uid="{E59CF155-283E-4466-B488-7C0F8C8626BB}" name="Luftfeuchtigkeit [%]" dataDxfId="57"/>
    <tableColumn id="10" xr3:uid="{9E9B09A0-7514-4F8C-AF36-630AC0D9EE56}" name="Aufnahmezeit [s]" dataDxfId="56"/>
    <tableColumn id="11" xr3:uid="{7A60FDB1-8F99-4618-A2D3-668896EEF238}" name="Anzahl Frames" dataDxfId="55"/>
    <tableColumn id="16" xr3:uid="{858DBD6C-2631-40E3-AA01-DF77EBAF0021}" name="Mean fps " dataDxfId="54">
      <calculatedColumnFormula>Tabelle1563[[#This Row],[Anzahl Frames]]/Tabelle1563[[#This Row],[Aufnahmezeit '[s']]]</calculatedColumnFormula>
    </tableColumn>
    <tableColumn id="17" xr3:uid="{7FC2601F-3F7C-4DE2-8EDD-4E37AC6D489F}" name="Frame_intervall" dataDxfId="53">
      <calculatedColumnFormula>1/Tabelle1563[[#This Row],[Mean fps ]]</calculatedColumnFormula>
    </tableColumn>
    <tableColumn id="12" xr3:uid="{75616567-D114-4E7B-B717-B0140B0CC084}" name="Objektiv [fach]" dataDxfId="52"/>
    <tableColumn id="13" xr3:uid="{1FDA1286-41FB-4525-89C4-2E29AAE53937}" name="Anmerkung" dataDxfId="51"/>
    <tableColumn id="15" xr3:uid="{E5DF0429-B17E-447B-BC7E-72017E9DF94F}" name="Dateiname" dataDxfId="50"/>
    <tableColumn id="18" xr3:uid="{4C448538-3B7D-47E6-8AD1-78634A4B5DD4}" name="MiVis (Methode 1) [mPas]" dataDxfId="49"/>
    <tableColumn id="19" xr3:uid="{30BA96D1-1E8C-4C5F-85E2-D7DD0A9310ED}" name="MiVis (Methode 2) [mPas]" dataDxfId="48"/>
    <tableColumn id="20" xr3:uid="{3254A7DD-5D8D-4EE7-BE77-01EFB84A7157}" name="MiVis (Methode 3) [mPas]" dataDxfId="47"/>
    <tableColumn id="21" xr3:uid="{A44FA404-883F-4742-B90B-8792C3CF1401}" name="Anmerkung zur Auswertung" dataDxfId="46"/>
    <tableColumn id="22" xr3:uid="{D9F421A3-AFEB-4D27-B26B-25AAF343B6B7}" name="Mean Visc. 1 [mPas]" dataDxfId="45"/>
    <tableColumn id="23" xr3:uid="{F330D587-0617-4939-8A54-4EFCC3991E60}" name="Mean Visc. 2 [mPas]2" dataDxfId="44"/>
    <tableColumn id="24" xr3:uid="{1587CBD7-51E3-487D-86DA-A36C83B1A2F9}" name="Mean Visc. 3 [mPas]3" dataDxfId="43"/>
    <tableColumn id="25" xr3:uid="{63572785-91B2-4CD9-A841-405E1A5D4899}" name="Standardabweichung 1" dataDxfId="42">
      <calculatedColumnFormula array="1">STABW</calculatedColumnFormula>
    </tableColumn>
    <tableColumn id="26" xr3:uid="{404FC090-6DCE-459A-AC5F-FB7EC83D9F0D}" name="Standardabweichung 2" dataDxfId="41"/>
    <tableColumn id="27" xr3:uid="{16BFEC42-9A9B-48D3-B3C8-BF13185A68F3}" name="Standardabweichung 3" dataDxfId="40"/>
    <tableColumn id="28" xr3:uid="{50F20627-4C23-47A1-B271-12752130B39C}" name="CV 1" dataDxfId="39">
      <calculatedColumnFormula>Tabelle1563[[#This Row],[Standardabweichung 1]]/Tabelle1563[[#This Row],[Mean Visc. 1 '[mPas']]]</calculatedColumnFormula>
    </tableColumn>
    <tableColumn id="29" xr3:uid="{8929A1AE-4B76-4A4B-AAA1-523ED3DE4D09}" name="CV 2" dataDxfId="38">
      <calculatedColumnFormula>Tabelle156[[#This Row],[Standardabweichung 2]]/Tabelle156[[#This Row],[Mean Visc. 2 '[mPas']2]]</calculatedColumnFormula>
    </tableColumn>
    <tableColumn id="30" xr3:uid="{67AA391F-EE1C-4587-A324-1E0B32BACA26}" name="CV 3" dataDxfId="37">
      <calculatedColumnFormula>Tabelle156[[#This Row],[Standardabweichung 3]]/Tabelle156[[#This Row],[Mean Visc. 3 '[mPas']3]]</calculatedColumnFormula>
    </tableColumn>
    <tableColumn id="32" xr3:uid="{C5EB9D4C-3619-4F5D-91BB-DE9CC46FF38D}" name="RefWert" dataDxfId="36"/>
    <tableColumn id="31" xr3:uid="{B55CB349-AACD-4F6F-98D2-C4B3F5D2B025}" name="Abweichung zum RefWert 1" dataDxfId="35">
      <calculatedColumnFormula>1-Tabelle1563[[#This Row],[Mean Visc. 1 '[mPas']]]/$AF$2</calculatedColumnFormula>
    </tableColumn>
    <tableColumn id="33" xr3:uid="{7794D6AA-A192-40BF-9967-23F7B5C1AA8F}" name="Abweichung zum RefWert 2" dataDxfId="34"/>
    <tableColumn id="34" xr3:uid="{5B5F4943-A432-4871-836D-FF41B5E22F83}" name="Abweichung zum RefWert 3" dataDxfId="33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12C5D36-7470-4D7C-B17B-C17C4FB71443}" name="Tabelle15638" displayName="Tabelle15638" ref="A1:AI211" totalsRowShown="0" headerRowDxfId="32" dataDxfId="31">
  <autoFilter ref="A1:AI211" xr:uid="{69BE8330-4DED-4761-B383-7A999EABAE1D}"/>
  <tableColumns count="35">
    <tableColumn id="1" xr3:uid="{4A84D83E-E577-493E-8B9B-113F54C004DF}" name="#"/>
    <tableColumn id="2" xr3:uid="{B1DB7B9B-E96F-4676-A363-0CD36749F61F}" name="Datum" dataDxfId="30"/>
    <tableColumn id="3" xr3:uid="{30FA2C47-041D-4498-9795-7489F1510B71}" name="Uhrzeit Beginn" dataDxfId="29"/>
    <tableColumn id="4" xr3:uid="{7FDAC34F-1E08-424E-86EA-F4B04BE4C992}" name="Probe" dataDxfId="28"/>
    <tableColumn id="5" xr3:uid="{A3F92009-D565-404C-B8A8-D3153C5C2B9D}" name="Codierung"/>
    <tableColumn id="35" xr3:uid="{B875D306-D612-4E5B-A863-E56EF3ABF08D}" name="Aliquot"/>
    <tableColumn id="6" xr3:uid="{C5AEA89F-4BAD-4A84-AB85-7DFBE972E024}" name="Material"/>
    <tableColumn id="7" xr3:uid="{3E162189-637A-485E-8BC3-B8CA962D73B7}" name="Herstellung" dataDxfId="27"/>
    <tableColumn id="8" xr3:uid="{221A9A60-3E92-443C-864F-29BECB797711}" name="Bead-Verdünnung" dataDxfId="26"/>
    <tableColumn id="9" xr3:uid="{FD56A5D5-C9DC-4A09-8F17-33BAFEE82F8B}" name="Temperatur [°C]" dataDxfId="25"/>
    <tableColumn id="14" xr3:uid="{FA255AF2-C82A-495B-8085-C79C6BFA7D37}" name="Luftfeuchtigkeit [%]" dataDxfId="24"/>
    <tableColumn id="10" xr3:uid="{C007C3F8-9DAB-4982-BEEB-DEE819F84DBF}" name="Aufnahmezeit [s]" dataDxfId="23"/>
    <tableColumn id="11" xr3:uid="{F6C8F0E7-1CC3-4FA9-8B84-0437F2FA831F}" name="Anzahl Frames" dataDxfId="22"/>
    <tableColumn id="16" xr3:uid="{6CF18363-4C6E-4007-BDE6-7AC687EB7A2E}" name="Mean fps " dataDxfId="21">
      <calculatedColumnFormula>Tabelle15638[[#This Row],[Anzahl Frames]]/Tabelle15638[[#This Row],[Aufnahmezeit '[s']]]</calculatedColumnFormula>
    </tableColumn>
    <tableColumn id="17" xr3:uid="{52CF3CFB-F042-4C42-B2B5-DC5BCABF6740}" name="Frame_intervall" dataDxfId="20">
      <calculatedColumnFormula>1/Tabelle15638[[#This Row],[Mean fps ]]</calculatedColumnFormula>
    </tableColumn>
    <tableColumn id="12" xr3:uid="{9EA7F38D-F17C-436B-8B7E-31028C2309D5}" name="Objektiv [fach]" dataDxfId="19"/>
    <tableColumn id="13" xr3:uid="{754BCB5A-BD95-430A-9708-A34B010AEC38}" name="Anmerkung" dataDxfId="18"/>
    <tableColumn id="15" xr3:uid="{A033FBE8-3A1A-4F21-B2D0-779C29550A53}" name="Dateiname" dataDxfId="17"/>
    <tableColumn id="18" xr3:uid="{06B3BCC8-799B-4062-AB2B-216C24ECDF49}" name="MiVis (Methode 1) [mPas]" dataDxfId="16"/>
    <tableColumn id="19" xr3:uid="{BED2426F-3379-4BAE-B1AA-B17CCC39FC7A}" name="MiVis (Methode 2) [mPas]" dataDxfId="15"/>
    <tableColumn id="20" xr3:uid="{DF6EBD0B-6EC1-4355-BB61-130DA78F72F3}" name="MiVis (Methode 3) [mPas]" dataDxfId="14"/>
    <tableColumn id="21" xr3:uid="{232CF782-5074-414E-920A-62A590068883}" name="Anmerkung zur Auswertung" dataDxfId="13"/>
    <tableColumn id="22" xr3:uid="{7C064223-4F90-46B4-91AE-76C15DAE7113}" name="Mean Visc. 1 [mPas]" dataDxfId="12"/>
    <tableColumn id="23" xr3:uid="{233D31D5-90D7-4497-AF8E-E5D83D59C63C}" name="Mean Visc. 2 [mPas]2" dataDxfId="11"/>
    <tableColumn id="24" xr3:uid="{B46B1D58-A86A-4648-85C2-C8314793F72D}" name="Mean Visc. 3 [mPas]3" dataDxfId="10"/>
    <tableColumn id="25" xr3:uid="{DD65FA24-BCAB-4E42-B7DA-935172649057}" name="Standardabweichung 1" dataDxfId="9">
      <calculatedColumnFormula array="1">STABW</calculatedColumnFormula>
    </tableColumn>
    <tableColumn id="26" xr3:uid="{5EF2A766-00A3-4197-B1A4-292309FE8795}" name="Standardabweichung 2" dataDxfId="8"/>
    <tableColumn id="27" xr3:uid="{A1252A32-DC27-4DA4-99FF-B2AB43997239}" name="Standardabweichung 3" dataDxfId="7"/>
    <tableColumn id="28" xr3:uid="{D2EB4247-9DFC-4A4F-915E-114A444D6B37}" name="CV 1" dataDxfId="6">
      <calculatedColumnFormula>Tabelle15638[[#This Row],[Standardabweichung 1]]/Tabelle15638[[#This Row],[Mean Visc. 1 '[mPas']]]</calculatedColumnFormula>
    </tableColumn>
    <tableColumn id="29" xr3:uid="{417FF78F-01BD-464E-97E7-F9A71DDFB560}" name="CV 2" dataDxfId="5">
      <calculatedColumnFormula>Tabelle156[[#This Row],[Standardabweichung 2]]/Tabelle156[[#This Row],[Mean Visc. 2 '[mPas']2]]</calculatedColumnFormula>
    </tableColumn>
    <tableColumn id="30" xr3:uid="{0E6E7CFB-8A0E-4FE4-8F68-DE9DA47BBD28}" name="CV 3" dataDxfId="4">
      <calculatedColumnFormula>Tabelle156[[#This Row],[Standardabweichung 3]]/Tabelle156[[#This Row],[Mean Visc. 3 '[mPas']3]]</calculatedColumnFormula>
    </tableColumn>
    <tableColumn id="32" xr3:uid="{0816536C-2AFD-4409-886D-7218F3FD9CE8}" name="RefWert" dataDxfId="3"/>
    <tableColumn id="31" xr3:uid="{93BDE334-2333-4C58-87B3-2E8DE28B3D3D}" name="Abweichung zum RefWert 1" dataDxfId="2">
      <calculatedColumnFormula>1-Tabelle15638[[#This Row],[Mean Visc. 1 '[mPas']]]/$AF$2</calculatedColumnFormula>
    </tableColumn>
    <tableColumn id="33" xr3:uid="{528DAC21-6DFE-44CF-989B-B57C73382741}" name="Abweichung zum RefWert 2" dataDxfId="1"/>
    <tableColumn id="34" xr3:uid="{A9BF789D-BC70-4819-A278-5B5AA1B4B274}" name="Abweichung zum RefWert 3" dataDxfId="0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4E606D-9A25-4469-B893-E442EA2F6F89}" name="Tabelle1311" displayName="Tabelle1311" ref="A1:AE211" totalsRowShown="0" headerRowDxfId="158" dataDxfId="157">
  <autoFilter ref="A1:AE211" xr:uid="{7F4E606D-9A25-4469-B893-E442EA2F6F89}"/>
  <tableColumns count="31">
    <tableColumn id="1" xr3:uid="{D7298161-EFD9-417B-87AE-9C9146919010}" name="#"/>
    <tableColumn id="2" xr3:uid="{1BD2639B-DFFA-4D55-9CF1-1EA169C1B038}" name="Datum" dataDxfId="156"/>
    <tableColumn id="3" xr3:uid="{AC10DE2E-E2B6-40B3-B8C5-FBF2BD74B1A6}" name="Uhrzeit Beginn" dataDxfId="155"/>
    <tableColumn id="4" xr3:uid="{EA22EBED-1355-4EAD-B614-1886880C0203}" name="Proben#" dataDxfId="154"/>
    <tableColumn id="5" xr3:uid="{6F0C6FC8-6C1D-4591-9160-FB0A95720219}" name="Codierung"/>
    <tableColumn id="6" xr3:uid="{E8A90590-5516-4382-8866-FB8EE3806B70}" name="Differenzierung"/>
    <tableColumn id="25" xr3:uid="{0857FF32-4473-4EFD-93EF-A852162911DD}" name="Datum_Sammlung" dataDxfId="153"/>
    <tableColumn id="7" xr3:uid="{B3559E4C-19E2-498C-B26C-5BD3AB7B857D}" name="Herstellung" dataDxfId="152"/>
    <tableColumn id="8" xr3:uid="{AAE49CA4-70FD-4A67-B392-A06AEBF147AD}" name="Bead-Verdünnung" dataDxfId="151"/>
    <tableColumn id="9" xr3:uid="{B238618C-5C0A-45F2-9BDA-8FA5248381C3}" name="Temperatur [°C]" dataDxfId="150"/>
    <tableColumn id="14" xr3:uid="{388A47EA-3EA2-4618-BB73-AF6B320ED7BC}" name="Luftfeuchtigkeit [%]" dataDxfId="149"/>
    <tableColumn id="10" xr3:uid="{66C56231-2931-4858-93B3-C0781144026F}" name="Aufnahmezeit [s]" dataDxfId="148"/>
    <tableColumn id="11" xr3:uid="{F7BBB6E4-0F32-49C1-9DE1-6FFA3A907138}" name="Anzahl Frames" dataDxfId="147"/>
    <tableColumn id="16" xr3:uid="{C024BBDF-58A4-4C55-9195-9B074D8D044C}" name="Mean fps " dataDxfId="146">
      <calculatedColumnFormula>[1]!Tabelle1321011121516[[#This Row],[Anzahl Frames]]/[1]!Tabelle1321011121516[[#This Row],[Aufnahmezeit '[s']]]</calculatedColumnFormula>
    </tableColumn>
    <tableColumn id="17" xr3:uid="{FCEAD887-7CAF-4C15-9FE5-E86841780342}" name="Frame_intervall" dataDxfId="145">
      <calculatedColumnFormula>1/[1]!Tabelle1321011121516[[#This Row],[Mean fps ]]</calculatedColumnFormula>
    </tableColumn>
    <tableColumn id="12" xr3:uid="{D46FED17-1188-4CA7-AEA6-457B5E2E1B64}" name="Objektiv [fach]" dataDxfId="144"/>
    <tableColumn id="13" xr3:uid="{D7D37581-F7B3-4F0A-BD6D-B0BAA2F64DB6}" name="Anmerkung" dataDxfId="143"/>
    <tableColumn id="15" xr3:uid="{0D6899AB-1D86-47E9-B782-B31DE33CDF87}" name="Dateiname" dataDxfId="142"/>
    <tableColumn id="18" xr3:uid="{ECF11391-52C8-4818-8F0F-69E2A86C7AB5}" name="MiVis (Methode 1) [mPas]" dataDxfId="141"/>
    <tableColumn id="19" xr3:uid="{87DB7F51-D0D6-4BC3-90BA-719FDDCAEFE1}" name="MiVis (Methode 2) [mPas]" dataDxfId="140"/>
    <tableColumn id="20" xr3:uid="{B4D000EB-52E7-4781-BA37-BCF6ED1C34FB}" name="MiVis (Methode 3) [mPas]" dataDxfId="139"/>
    <tableColumn id="21" xr3:uid="{4C53DE63-420A-4E89-B482-6A2CDA99B751}" name="Anmerkung zur Auswertung" dataDxfId="138"/>
    <tableColumn id="22" xr3:uid="{8DA89F54-641D-40C6-93C8-59232BC5A4D8}" name="Mean Visc. 1 [mPas]" dataDxfId="137"/>
    <tableColumn id="23" xr3:uid="{30CC74F1-882E-4804-BE3F-CAEE01E55764}" name="Mean Visc. 2 [mPas]2" dataDxfId="136"/>
    <tableColumn id="24" xr3:uid="{24DADD44-53DF-4021-90BD-99C534A72EA0}" name="Mean Visc. 3 [mPas]3" dataDxfId="135"/>
    <tableColumn id="26" xr3:uid="{C895EC04-4B9B-4086-B0B5-54B57E4CA878}" name="SD 1" dataDxfId="134"/>
    <tableColumn id="27" xr3:uid="{25663832-0927-46D3-A1C2-017F1C9D7F75}" name="SD 2" dataDxfId="133"/>
    <tableColumn id="28" xr3:uid="{A00BF5C8-929E-4230-A359-893AD7114E3A}" name="SD 3" dataDxfId="132"/>
    <tableColumn id="29" xr3:uid="{2D6AFFE0-9451-4044-BE3D-8F78A8CB3921}" name="CV 1" dataDxfId="131">
      <calculatedColumnFormula>Tabelle1311[[#This Row],[SD 1]]/Tabelle1311[[#This Row],[Mean Visc. 1 '[mPas']]]</calculatedColumnFormula>
    </tableColumn>
    <tableColumn id="30" xr3:uid="{035FC836-4545-4996-BDCF-500657F73F13}" name="CV 2" dataDxfId="130"/>
    <tableColumn id="31" xr3:uid="{F2974CF9-3476-4765-B47A-DFED8DD571AC}" name="CV 3" dataDxfId="129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495D4-3792-4E0F-9551-CC27FE9DCB47}">
  <dimension ref="A1:AH138"/>
  <sheetViews>
    <sheetView topLeftCell="T1" zoomScale="52" zoomScaleNormal="100" workbookViewId="0">
      <selection activeCell="J45" sqref="J45"/>
    </sheetView>
  </sheetViews>
  <sheetFormatPr baseColWidth="10" defaultRowHeight="14.4" x14ac:dyDescent="0.3"/>
  <cols>
    <col min="1" max="1" width="5.33203125" customWidth="1"/>
    <col min="2" max="2" width="11.33203125" customWidth="1"/>
    <col min="3" max="3" width="15.109375" customWidth="1"/>
    <col min="4" max="4" width="11.5546875" style="7"/>
    <col min="6" max="6" width="14.33203125" customWidth="1"/>
    <col min="7" max="7" width="18" style="11" customWidth="1"/>
    <col min="8" max="8" width="18.33203125" style="9" customWidth="1"/>
    <col min="9" max="9" width="16.33203125" style="7" customWidth="1"/>
    <col min="10" max="10" width="18.44140625" style="7" customWidth="1"/>
    <col min="11" max="11" width="17.21875" style="7" customWidth="1"/>
    <col min="12" max="14" width="15" style="7" customWidth="1"/>
    <col min="15" max="15" width="15.44140625" style="7" customWidth="1"/>
    <col min="16" max="16" width="34.33203125" style="3" customWidth="1"/>
    <col min="17" max="17" width="22.6640625" style="11" customWidth="1"/>
    <col min="18" max="20" width="28.77734375" customWidth="1"/>
    <col min="21" max="21" width="61.109375" customWidth="1"/>
    <col min="22" max="24" width="19.109375" customWidth="1"/>
    <col min="25" max="25" width="22.77734375" customWidth="1"/>
    <col min="26" max="26" width="21.109375" customWidth="1"/>
    <col min="27" max="27" width="22.109375" customWidth="1"/>
    <col min="32" max="32" width="29.5546875" customWidth="1"/>
    <col min="33" max="33" width="28.33203125" customWidth="1"/>
    <col min="34" max="34" width="24.21875" customWidth="1"/>
  </cols>
  <sheetData>
    <row r="1" spans="1:34" x14ac:dyDescent="0.3">
      <c r="A1" s="1" t="s">
        <v>10</v>
      </c>
      <c r="B1" s="1" t="s">
        <v>0</v>
      </c>
      <c r="C1" s="1" t="s">
        <v>13</v>
      </c>
      <c r="D1" s="6" t="s">
        <v>1</v>
      </c>
      <c r="E1" s="1" t="s">
        <v>6</v>
      </c>
      <c r="F1" s="1" t="s">
        <v>5</v>
      </c>
      <c r="G1" s="10" t="s">
        <v>14</v>
      </c>
      <c r="H1" s="8" t="s">
        <v>3</v>
      </c>
      <c r="I1" s="6" t="s">
        <v>2</v>
      </c>
      <c r="J1" s="6" t="s">
        <v>40</v>
      </c>
      <c r="K1" s="6" t="s">
        <v>8</v>
      </c>
      <c r="L1" s="6" t="s">
        <v>4</v>
      </c>
      <c r="M1" s="6" t="s">
        <v>42</v>
      </c>
      <c r="N1" s="6" t="s">
        <v>43</v>
      </c>
      <c r="O1" s="6" t="s">
        <v>9</v>
      </c>
      <c r="P1" s="2" t="s">
        <v>7</v>
      </c>
      <c r="Q1" s="13" t="s">
        <v>41</v>
      </c>
      <c r="R1" s="8" t="s">
        <v>44</v>
      </c>
      <c r="S1" s="8" t="s">
        <v>45</v>
      </c>
      <c r="T1" s="8" t="s">
        <v>46</v>
      </c>
      <c r="U1" s="8" t="s">
        <v>47</v>
      </c>
      <c r="V1" s="6" t="s">
        <v>48</v>
      </c>
      <c r="W1" s="6" t="s">
        <v>49</v>
      </c>
      <c r="X1" s="6" t="s">
        <v>50</v>
      </c>
      <c r="Y1" s="6" t="s">
        <v>140</v>
      </c>
      <c r="Z1" s="6" t="s">
        <v>141</v>
      </c>
      <c r="AA1" s="6" t="s">
        <v>142</v>
      </c>
      <c r="AB1" s="6" t="s">
        <v>143</v>
      </c>
      <c r="AC1" s="6" t="s">
        <v>144</v>
      </c>
      <c r="AD1" s="6" t="s">
        <v>145</v>
      </c>
      <c r="AE1" s="6" t="s">
        <v>146</v>
      </c>
      <c r="AF1" s="6" t="s">
        <v>147</v>
      </c>
      <c r="AG1" s="6" t="s">
        <v>148</v>
      </c>
      <c r="AH1" s="6" t="s">
        <v>149</v>
      </c>
    </row>
    <row r="2" spans="1:34" x14ac:dyDescent="0.3">
      <c r="A2" t="s">
        <v>15</v>
      </c>
      <c r="B2" s="4"/>
      <c r="C2" s="5"/>
      <c r="F2" t="s">
        <v>11</v>
      </c>
      <c r="G2" s="12"/>
      <c r="H2" s="9" t="s">
        <v>12</v>
      </c>
      <c r="I2" s="7">
        <v>24.3</v>
      </c>
      <c r="J2" s="7">
        <v>10</v>
      </c>
      <c r="K2" s="7">
        <v>30.88</v>
      </c>
      <c r="L2" s="7">
        <v>388</v>
      </c>
      <c r="M2" s="7">
        <f>Tabelle156[[#This Row],[Anzahl Frames]]/Tabelle156[[#This Row],[Aufnahmezeit '[s']]]</f>
        <v>12.564766839378239</v>
      </c>
      <c r="N2" s="7">
        <f>1/Tabelle156[[#This Row],[Mean fps ]]</f>
        <v>7.9587628865979379E-2</v>
      </c>
      <c r="O2" s="7">
        <v>40</v>
      </c>
      <c r="Q2" s="11" t="s">
        <v>90</v>
      </c>
      <c r="R2" s="7">
        <v>0.84899999999999998</v>
      </c>
      <c r="S2" s="7">
        <v>0.72899999999999998</v>
      </c>
      <c r="T2" s="7">
        <v>1.282</v>
      </c>
      <c r="U2" s="7"/>
      <c r="V2" s="7"/>
      <c r="W2" s="7"/>
      <c r="X2" s="7"/>
      <c r="Y2" s="7" t="e" cm="1">
        <f t="array" ref="Y2">STABW</f>
        <v>#NAME?</v>
      </c>
      <c r="Z2" s="7"/>
      <c r="AA2" s="7"/>
      <c r="AB2" s="7" t="e">
        <f>Tabelle156[[#This Row],[Standardabweichung 1]]/Tabelle156[[#This Row],[Mean Visc. 1 '[mPas']]]</f>
        <v>#NAME?</v>
      </c>
      <c r="AC2" s="7"/>
      <c r="AD2" s="7"/>
      <c r="AE2" s="7">
        <v>0.91100000000000003</v>
      </c>
      <c r="AF2" s="7">
        <f>1-Tabelle156[[#This Row],[Mean Visc. 1 '[mPas']]]/$AE$2</f>
        <v>1</v>
      </c>
      <c r="AG2" s="7"/>
      <c r="AH2" s="7"/>
    </row>
    <row r="3" spans="1:34" x14ac:dyDescent="0.3">
      <c r="A3" t="s">
        <v>16</v>
      </c>
      <c r="B3" s="4"/>
      <c r="C3" s="5"/>
      <c r="F3" t="s">
        <v>11</v>
      </c>
      <c r="G3" s="12"/>
      <c r="H3" s="9" t="s">
        <v>12</v>
      </c>
      <c r="I3" s="7">
        <v>24.2</v>
      </c>
      <c r="J3" s="7">
        <v>10</v>
      </c>
      <c r="K3" s="7">
        <v>31.22</v>
      </c>
      <c r="L3" s="7">
        <v>390</v>
      </c>
      <c r="M3" s="7">
        <f>Tabelle156[[#This Row],[Anzahl Frames]]/Tabelle156[[#This Row],[Aufnahmezeit '[s']]]</f>
        <v>12.491992312620116</v>
      </c>
      <c r="N3" s="7">
        <f>1/Tabelle156[[#This Row],[Mean fps ]]</f>
        <v>8.0051282051282049E-2</v>
      </c>
      <c r="O3" s="7">
        <v>40</v>
      </c>
      <c r="Q3" s="11" t="s">
        <v>91</v>
      </c>
      <c r="R3" s="7">
        <v>0.82899999999999996</v>
      </c>
      <c r="S3" s="7">
        <v>0.71499999999999997</v>
      </c>
      <c r="T3" s="7">
        <v>1.2529999999999999</v>
      </c>
      <c r="U3" s="7"/>
      <c r="V3" s="7"/>
      <c r="W3" s="7"/>
      <c r="X3" s="7"/>
      <c r="Y3" s="7" t="e" cm="1">
        <f t="array" ref="Y3">STABW</f>
        <v>#NAME?</v>
      </c>
      <c r="Z3" s="7"/>
      <c r="AA3" s="7"/>
      <c r="AB3" s="7" t="e">
        <f>Tabelle156[[#This Row],[Standardabweichung 1]]/Tabelle156[[#This Row],[Mean Visc. 1 '[mPas']]]</f>
        <v>#NAME?</v>
      </c>
      <c r="AC3" s="7"/>
      <c r="AD3" s="7"/>
      <c r="AE3" s="7"/>
      <c r="AF3" s="7">
        <f>1-Tabelle156[[#This Row],[Mean Visc. 1 '[mPas']]]/$AE$2</f>
        <v>1</v>
      </c>
      <c r="AG3" s="7"/>
      <c r="AH3" s="7"/>
    </row>
    <row r="4" spans="1:34" x14ac:dyDescent="0.3">
      <c r="A4" t="s">
        <v>17</v>
      </c>
      <c r="B4" s="4"/>
      <c r="C4" s="5"/>
      <c r="F4" t="s">
        <v>11</v>
      </c>
      <c r="G4" s="12"/>
      <c r="H4" s="9" t="s">
        <v>12</v>
      </c>
      <c r="I4" s="7">
        <v>24.1</v>
      </c>
      <c r="J4" s="7">
        <v>10</v>
      </c>
      <c r="K4" s="7">
        <v>30.58</v>
      </c>
      <c r="L4" s="7">
        <v>382</v>
      </c>
      <c r="M4" s="7">
        <f>Tabelle156[[#This Row],[Anzahl Frames]]/Tabelle156[[#This Row],[Aufnahmezeit '[s']]]</f>
        <v>12.491824722040549</v>
      </c>
      <c r="N4" s="7">
        <f>1/Tabelle156[[#This Row],[Mean fps ]]</f>
        <v>8.0052356020942406E-2</v>
      </c>
      <c r="O4" s="7">
        <v>40</v>
      </c>
      <c r="Q4" s="11" t="s">
        <v>92</v>
      </c>
      <c r="R4" s="7">
        <v>0.88</v>
      </c>
      <c r="S4" s="7">
        <v>0.75600000000000001</v>
      </c>
      <c r="T4" s="7">
        <v>1.3089999999999999</v>
      </c>
      <c r="U4" s="7"/>
      <c r="V4" s="7"/>
      <c r="W4" s="7"/>
      <c r="X4" s="7"/>
      <c r="Y4" s="7" t="e" cm="1">
        <f t="array" ref="Y4">STABW</f>
        <v>#NAME?</v>
      </c>
      <c r="Z4" s="7"/>
      <c r="AA4" s="7"/>
      <c r="AB4" s="7" t="e">
        <f>Tabelle156[[#This Row],[Standardabweichung 1]]/Tabelle156[[#This Row],[Mean Visc. 1 '[mPas']]]</f>
        <v>#NAME?</v>
      </c>
      <c r="AC4" s="7"/>
      <c r="AD4" s="7"/>
      <c r="AE4" s="7"/>
      <c r="AF4" s="7">
        <f>1-Tabelle156[[#This Row],[Mean Visc. 1 '[mPas']]]/$AE$2</f>
        <v>1</v>
      </c>
      <c r="AG4" s="7"/>
      <c r="AH4" s="7"/>
    </row>
    <row r="5" spans="1:34" x14ac:dyDescent="0.3">
      <c r="A5" t="s">
        <v>18</v>
      </c>
      <c r="B5" s="4"/>
      <c r="C5" s="5"/>
      <c r="F5" t="s">
        <v>11</v>
      </c>
      <c r="G5" s="12"/>
      <c r="H5" s="9" t="s">
        <v>12</v>
      </c>
      <c r="I5" s="7">
        <v>24.1</v>
      </c>
      <c r="J5" s="7">
        <v>10</v>
      </c>
      <c r="K5" s="7">
        <v>30.64</v>
      </c>
      <c r="L5" s="7">
        <v>383</v>
      </c>
      <c r="M5" s="7">
        <f>Tabelle156[[#This Row],[Anzahl Frames]]/Tabelle156[[#This Row],[Aufnahmezeit '[s']]]</f>
        <v>12.5</v>
      </c>
      <c r="N5" s="7">
        <f>1/Tabelle156[[#This Row],[Mean fps ]]</f>
        <v>0.08</v>
      </c>
      <c r="O5" s="7">
        <v>40</v>
      </c>
      <c r="Q5" s="11" t="s">
        <v>93</v>
      </c>
      <c r="R5" s="7">
        <v>0.755</v>
      </c>
      <c r="S5" s="7">
        <v>0.65300000000000002</v>
      </c>
      <c r="T5" s="7">
        <v>1.2529999999999999</v>
      </c>
      <c r="U5" s="7"/>
      <c r="V5" s="7"/>
      <c r="W5" s="7"/>
      <c r="X5" s="7"/>
      <c r="Y5" s="7" t="e" cm="1">
        <f t="array" ref="Y5">STABW</f>
        <v>#NAME?</v>
      </c>
      <c r="Z5" s="7"/>
      <c r="AA5" s="7"/>
      <c r="AB5" s="7" t="e">
        <f>Tabelle156[[#This Row],[Standardabweichung 1]]/Tabelle156[[#This Row],[Mean Visc. 1 '[mPas']]]</f>
        <v>#NAME?</v>
      </c>
      <c r="AC5" s="7"/>
      <c r="AD5" s="7"/>
      <c r="AE5" s="7"/>
      <c r="AF5" s="7">
        <f>1-Tabelle156[[#This Row],[Mean Visc. 1 '[mPas']]]/$AE$2</f>
        <v>1</v>
      </c>
      <c r="AG5" s="7"/>
      <c r="AH5" s="7"/>
    </row>
    <row r="6" spans="1:34" x14ac:dyDescent="0.3">
      <c r="A6" t="s">
        <v>19</v>
      </c>
      <c r="B6" s="4"/>
      <c r="C6" s="5"/>
      <c r="F6" t="s">
        <v>11</v>
      </c>
      <c r="G6" s="12"/>
      <c r="H6" s="9" t="s">
        <v>12</v>
      </c>
      <c r="I6" s="7">
        <v>24.1</v>
      </c>
      <c r="J6" s="7">
        <v>10</v>
      </c>
      <c r="K6" s="7">
        <v>30.98</v>
      </c>
      <c r="L6" s="7">
        <v>387</v>
      </c>
      <c r="M6" s="7">
        <f>Tabelle156[[#This Row],[Anzahl Frames]]/Tabelle156[[#This Row],[Aufnahmezeit '[s']]]</f>
        <v>12.491930277598451</v>
      </c>
      <c r="N6" s="7">
        <f>1/Tabelle156[[#This Row],[Mean fps ]]</f>
        <v>8.0051679586563312E-2</v>
      </c>
      <c r="O6" s="7">
        <v>40</v>
      </c>
      <c r="Q6" s="11" t="s">
        <v>94</v>
      </c>
      <c r="R6" s="7">
        <v>0.78800000000000003</v>
      </c>
      <c r="S6" s="7">
        <v>0.65700000000000003</v>
      </c>
      <c r="T6" s="7">
        <v>1.2709999999999999</v>
      </c>
      <c r="U6" s="7"/>
      <c r="V6" s="7"/>
      <c r="W6" s="7"/>
      <c r="X6" s="7"/>
      <c r="Y6" s="7" t="e" cm="1">
        <f t="array" ref="Y6">STABW</f>
        <v>#NAME?</v>
      </c>
      <c r="Z6" s="7"/>
      <c r="AA6" s="7"/>
      <c r="AB6" s="7" t="e">
        <f>Tabelle156[[#This Row],[Standardabweichung 1]]/Tabelle156[[#This Row],[Mean Visc. 1 '[mPas']]]</f>
        <v>#NAME?</v>
      </c>
      <c r="AC6" s="7"/>
      <c r="AD6" s="7"/>
      <c r="AE6" s="7"/>
      <c r="AF6" s="7">
        <f>1-Tabelle156[[#This Row],[Mean Visc. 1 '[mPas']]]/$AE$2</f>
        <v>1</v>
      </c>
      <c r="AG6" s="7"/>
      <c r="AH6" s="7"/>
    </row>
    <row r="7" spans="1:34" x14ac:dyDescent="0.3">
      <c r="A7" t="s">
        <v>20</v>
      </c>
      <c r="B7" s="4"/>
      <c r="C7" s="5"/>
      <c r="F7" t="s">
        <v>11</v>
      </c>
      <c r="G7" s="12"/>
      <c r="H7" s="9" t="s">
        <v>12</v>
      </c>
      <c r="I7" s="7">
        <v>24.1</v>
      </c>
      <c r="J7" s="7">
        <v>10</v>
      </c>
      <c r="K7" s="7">
        <v>31.12</v>
      </c>
      <c r="L7" s="7">
        <v>390</v>
      </c>
      <c r="M7" s="7">
        <f>Tabelle156[[#This Row],[Anzahl Frames]]/Tabelle156[[#This Row],[Aufnahmezeit '[s']]]</f>
        <v>12.532133676092545</v>
      </c>
      <c r="N7" s="7">
        <f>1/Tabelle156[[#This Row],[Mean fps ]]</f>
        <v>7.9794871794871797E-2</v>
      </c>
      <c r="O7" s="7">
        <v>40</v>
      </c>
      <c r="Q7" s="11" t="s">
        <v>95</v>
      </c>
      <c r="R7" s="7">
        <v>0.85399999999999998</v>
      </c>
      <c r="S7" s="7">
        <v>0.67500000000000004</v>
      </c>
      <c r="T7" s="7">
        <v>1.244</v>
      </c>
      <c r="U7" s="7"/>
      <c r="V7" s="7"/>
      <c r="W7" s="7"/>
      <c r="X7" s="7"/>
      <c r="Y7" s="7" t="e" cm="1">
        <f t="array" ref="Y7">STABW</f>
        <v>#NAME?</v>
      </c>
      <c r="Z7" s="7"/>
      <c r="AA7" s="7"/>
      <c r="AB7" s="7" t="e">
        <f>Tabelle156[[#This Row],[Standardabweichung 1]]/Tabelle156[[#This Row],[Mean Visc. 1 '[mPas']]]</f>
        <v>#NAME?</v>
      </c>
      <c r="AC7" s="7"/>
      <c r="AD7" s="7"/>
      <c r="AE7" s="7"/>
      <c r="AF7" s="7">
        <f>1-Tabelle156[[#This Row],[Mean Visc. 1 '[mPas']]]/$AE$2</f>
        <v>1</v>
      </c>
      <c r="AG7" s="7"/>
      <c r="AH7" s="7"/>
    </row>
    <row r="8" spans="1:34" x14ac:dyDescent="0.3">
      <c r="A8" t="s">
        <v>21</v>
      </c>
      <c r="B8" s="4"/>
      <c r="C8" s="5"/>
      <c r="F8" t="s">
        <v>11</v>
      </c>
      <c r="G8" s="12"/>
      <c r="H8" s="9" t="s">
        <v>12</v>
      </c>
      <c r="I8" s="7">
        <v>24.1</v>
      </c>
      <c r="J8" s="7">
        <v>10</v>
      </c>
      <c r="K8" s="7">
        <v>31.2</v>
      </c>
      <c r="L8" s="7">
        <v>390</v>
      </c>
      <c r="M8" s="7">
        <f>Tabelle156[[#This Row],[Anzahl Frames]]/Tabelle156[[#This Row],[Aufnahmezeit '[s']]]</f>
        <v>12.5</v>
      </c>
      <c r="N8" s="7">
        <f>1/Tabelle156[[#This Row],[Mean fps ]]</f>
        <v>0.08</v>
      </c>
      <c r="O8" s="7">
        <v>40</v>
      </c>
      <c r="Q8" s="11" t="s">
        <v>96</v>
      </c>
      <c r="R8" s="7">
        <v>0.84499999999999997</v>
      </c>
      <c r="S8" s="7">
        <v>0.65500000000000003</v>
      </c>
      <c r="T8" s="7">
        <v>1.26</v>
      </c>
      <c r="U8" s="7"/>
      <c r="V8" s="7"/>
      <c r="W8" s="7"/>
      <c r="X8" s="7"/>
      <c r="Y8" s="7" t="e" cm="1">
        <f t="array" ref="Y8">STABW</f>
        <v>#NAME?</v>
      </c>
      <c r="Z8" s="7"/>
      <c r="AA8" s="7"/>
      <c r="AB8" s="7" t="e">
        <f>Tabelle156[[#This Row],[Standardabweichung 1]]/Tabelle156[[#This Row],[Mean Visc. 1 '[mPas']]]</f>
        <v>#NAME?</v>
      </c>
      <c r="AC8" s="7"/>
      <c r="AD8" s="7"/>
      <c r="AE8" s="7"/>
      <c r="AF8" s="7">
        <f>1-Tabelle156[[#This Row],[Mean Visc. 1 '[mPas']]]/$AE$2</f>
        <v>1</v>
      </c>
      <c r="AG8" s="7"/>
      <c r="AH8" s="7"/>
    </row>
    <row r="9" spans="1:34" x14ac:dyDescent="0.3">
      <c r="A9" t="s">
        <v>22</v>
      </c>
      <c r="B9" s="4"/>
      <c r="C9" s="5"/>
      <c r="F9" t="s">
        <v>11</v>
      </c>
      <c r="G9" s="12"/>
      <c r="H9" s="9" t="s">
        <v>12</v>
      </c>
      <c r="I9" s="7">
        <v>24.1</v>
      </c>
      <c r="J9" s="7">
        <v>10</v>
      </c>
      <c r="K9" s="7">
        <v>29.92</v>
      </c>
      <c r="L9" s="7">
        <v>375</v>
      </c>
      <c r="M9" s="7">
        <f>Tabelle156[[#This Row],[Anzahl Frames]]/Tabelle156[[#This Row],[Aufnahmezeit '[s']]]</f>
        <v>12.533422459893048</v>
      </c>
      <c r="N9" s="7">
        <f>1/Tabelle156[[#This Row],[Mean fps ]]</f>
        <v>7.9786666666666672E-2</v>
      </c>
      <c r="O9" s="7">
        <v>40</v>
      </c>
      <c r="Q9" s="11" t="s">
        <v>97</v>
      </c>
      <c r="R9" s="7">
        <v>0.78500000000000003</v>
      </c>
      <c r="S9" s="7">
        <v>0.64700000000000002</v>
      </c>
      <c r="T9" s="7">
        <v>1.2310000000000001</v>
      </c>
      <c r="U9" s="7"/>
      <c r="V9" s="7"/>
      <c r="W9" s="7"/>
      <c r="X9" s="7"/>
      <c r="Y9" s="7" t="e" cm="1">
        <f t="array" ref="Y9">STABW</f>
        <v>#NAME?</v>
      </c>
      <c r="Z9" s="7"/>
      <c r="AA9" s="7"/>
      <c r="AB9" s="7" t="e">
        <f>Tabelle156[[#This Row],[Standardabweichung 1]]/Tabelle156[[#This Row],[Mean Visc. 1 '[mPas']]]</f>
        <v>#NAME?</v>
      </c>
      <c r="AC9" s="7"/>
      <c r="AD9" s="7"/>
      <c r="AE9" s="7"/>
      <c r="AF9" s="7">
        <f>1-Tabelle156[[#This Row],[Mean Visc. 1 '[mPas']]]/$AE$2</f>
        <v>1</v>
      </c>
      <c r="AG9" s="7"/>
      <c r="AH9" s="7"/>
    </row>
    <row r="10" spans="1:34" x14ac:dyDescent="0.3">
      <c r="A10" t="s">
        <v>23</v>
      </c>
      <c r="B10" s="4"/>
      <c r="C10" s="5"/>
      <c r="F10" t="s">
        <v>11</v>
      </c>
      <c r="G10" s="12"/>
      <c r="H10" s="9" t="s">
        <v>12</v>
      </c>
      <c r="I10" s="7">
        <v>24.1</v>
      </c>
      <c r="J10" s="7">
        <v>10</v>
      </c>
      <c r="K10" s="7">
        <v>29.84</v>
      </c>
      <c r="L10" s="7">
        <v>373</v>
      </c>
      <c r="M10" s="7">
        <f>Tabelle156[[#This Row],[Anzahl Frames]]/Tabelle156[[#This Row],[Aufnahmezeit '[s']]]</f>
        <v>12.5</v>
      </c>
      <c r="N10" s="7">
        <f>1/Tabelle156[[#This Row],[Mean fps ]]</f>
        <v>0.08</v>
      </c>
      <c r="O10" s="7">
        <v>40</v>
      </c>
      <c r="Q10" s="11" t="s">
        <v>98</v>
      </c>
      <c r="R10" s="7">
        <v>0.77900000000000003</v>
      </c>
      <c r="S10" s="7">
        <v>0.65900000000000003</v>
      </c>
      <c r="T10" s="7">
        <v>1.2629999999999999</v>
      </c>
      <c r="U10" s="7"/>
      <c r="V10" s="7"/>
      <c r="W10" s="7"/>
      <c r="X10" s="7"/>
      <c r="Y10" s="7" t="e" cm="1">
        <f t="array" ref="Y10">STABW</f>
        <v>#NAME?</v>
      </c>
      <c r="Z10" s="7"/>
      <c r="AA10" s="7"/>
      <c r="AB10" s="7" t="e">
        <f>Tabelle156[[#This Row],[Standardabweichung 1]]/Tabelle156[[#This Row],[Mean Visc. 1 '[mPas']]]</f>
        <v>#NAME?</v>
      </c>
      <c r="AC10" s="7"/>
      <c r="AD10" s="7"/>
      <c r="AE10" s="7"/>
      <c r="AF10" s="7">
        <f>1-Tabelle156[[#This Row],[Mean Visc. 1 '[mPas']]]/$AE$2</f>
        <v>1</v>
      </c>
      <c r="AG10" s="7"/>
      <c r="AH10" s="7"/>
    </row>
    <row r="11" spans="1:34" s="14" customFormat="1" ht="15" thickBot="1" x14ac:dyDescent="0.35">
      <c r="A11" s="14" t="s">
        <v>24</v>
      </c>
      <c r="B11" s="15"/>
      <c r="C11" s="16"/>
      <c r="D11" s="17"/>
      <c r="F11" s="14" t="s">
        <v>11</v>
      </c>
      <c r="G11" s="18"/>
      <c r="H11" s="19" t="s">
        <v>12</v>
      </c>
      <c r="I11" s="17">
        <v>24.1</v>
      </c>
      <c r="J11" s="17">
        <v>10</v>
      </c>
      <c r="K11" s="17">
        <v>30.56</v>
      </c>
      <c r="L11" s="17">
        <v>382</v>
      </c>
      <c r="M11" s="17">
        <f>Tabelle156[[#This Row],[Anzahl Frames]]/Tabelle156[[#This Row],[Aufnahmezeit '[s']]]</f>
        <v>12.5</v>
      </c>
      <c r="N11" s="17">
        <f>1/Tabelle156[[#This Row],[Mean fps ]]</f>
        <v>0.08</v>
      </c>
      <c r="O11" s="17">
        <v>40</v>
      </c>
      <c r="P11" s="20"/>
      <c r="Q11" s="11" t="s">
        <v>99</v>
      </c>
      <c r="R11" s="17">
        <v>0.81200000000000006</v>
      </c>
      <c r="S11" s="17">
        <v>0.78300000000000003</v>
      </c>
      <c r="T11" s="17">
        <v>1.2370000000000001</v>
      </c>
      <c r="U11" s="17"/>
      <c r="V11" s="7">
        <f>SUM(R2:R11)/10</f>
        <v>0.81759999999999999</v>
      </c>
      <c r="W11" s="7">
        <f t="shared" ref="W11:X11" si="0">SUM(S2:S11)/10</f>
        <v>0.69290000000000007</v>
      </c>
      <c r="X11" s="7">
        <f t="shared" si="0"/>
        <v>1.2603</v>
      </c>
      <c r="Y11" s="17">
        <f>_xlfn.STDEV.S(R2:R11)</f>
        <v>4.0089344663583049E-2</v>
      </c>
      <c r="Z11" s="17">
        <f>_xlfn.STDEV.S(S2:S11)</f>
        <v>4.9199028897371981E-2</v>
      </c>
      <c r="AA11" s="17">
        <f>_xlfn.STDEV.S(T2:T11)</f>
        <v>2.2944619315986788E-2</v>
      </c>
      <c r="AB11" s="17">
        <f>Tabelle156[[#This Row],[Standardabweichung 1]]/Tabelle156[[#This Row],[Mean Visc. 1 '[mPas']]]</f>
        <v>4.903295580183837E-2</v>
      </c>
      <c r="AC11" s="17">
        <f>Tabelle156[[#This Row],[Standardabweichung 2]]/Tabelle156[[#This Row],[Mean Visc. 2 '[mPas']2]]</f>
        <v>7.1004515655032435E-2</v>
      </c>
      <c r="AD11" s="17">
        <f>Tabelle156[[#This Row],[Standardabweichung 3]]/Tabelle156[[#This Row],[Mean Visc. 3 '[mPas']3]]</f>
        <v>1.8205680644280558E-2</v>
      </c>
      <c r="AE11" s="17"/>
      <c r="AF11" s="17">
        <f>1-Tabelle156[[#This Row],[Mean Visc. 1 '[mPas']]]/$AE$2</f>
        <v>0.10252469813391885</v>
      </c>
      <c r="AG11" s="17">
        <f>1-Tabelle156[[#This Row],[Mean Visc. 2 '[mPas']2]]/$AE$2</f>
        <v>0.23940724478594944</v>
      </c>
      <c r="AH11" s="17">
        <f>1-Tabelle156[[#This Row],[Mean Visc. 3 '[mPas']3]]/$AE$2</f>
        <v>-0.38342480790340283</v>
      </c>
    </row>
    <row r="12" spans="1:34" ht="15" thickTop="1" x14ac:dyDescent="0.3">
      <c r="A12" t="s">
        <v>25</v>
      </c>
      <c r="B12" s="4"/>
      <c r="C12" s="5"/>
      <c r="F12" t="s">
        <v>196</v>
      </c>
      <c r="G12" s="12"/>
      <c r="H12" s="9" t="s">
        <v>12</v>
      </c>
      <c r="I12" s="7">
        <v>24.2</v>
      </c>
      <c r="J12" s="7">
        <v>10</v>
      </c>
      <c r="K12" s="7">
        <v>31.12</v>
      </c>
      <c r="L12" s="7">
        <v>390</v>
      </c>
      <c r="M12" s="7">
        <f>Tabelle156[[#This Row],[Anzahl Frames]]/Tabelle156[[#This Row],[Aufnahmezeit '[s']]]</f>
        <v>12.532133676092545</v>
      </c>
      <c r="N12" s="7">
        <f>1/Tabelle156[[#This Row],[Mean fps ]]</f>
        <v>7.9794871794871797E-2</v>
      </c>
      <c r="O12" s="7">
        <v>40</v>
      </c>
      <c r="Q12" s="11" t="s">
        <v>100</v>
      </c>
      <c r="R12" s="7">
        <v>0.88300000000000001</v>
      </c>
      <c r="S12" s="7">
        <v>0.70699999999999996</v>
      </c>
      <c r="T12" s="7">
        <v>1.36</v>
      </c>
      <c r="U12" s="7"/>
      <c r="V12" s="7"/>
      <c r="W12" s="7"/>
      <c r="X12" s="7"/>
      <c r="Y12" s="7" t="e" cm="1">
        <f t="array" ref="Y12">STABW</f>
        <v>#NAME?</v>
      </c>
      <c r="Z12" s="7"/>
      <c r="AA12" s="7"/>
      <c r="AB12" s="7" t="e">
        <f>Tabelle156[[#This Row],[Standardabweichung 1]]/Tabelle156[[#This Row],[Mean Visc. 1 '[mPas']]]</f>
        <v>#NAME?</v>
      </c>
      <c r="AC12" s="7"/>
      <c r="AD12" s="7"/>
      <c r="AE12" s="7">
        <v>0.91100000000000003</v>
      </c>
      <c r="AF12" s="7">
        <f>1-Tabelle156[[#This Row],[Mean Visc. 1 '[mPas']]]/$AE$2</f>
        <v>1</v>
      </c>
      <c r="AG12" s="7"/>
      <c r="AH12" s="7"/>
    </row>
    <row r="13" spans="1:34" x14ac:dyDescent="0.3">
      <c r="A13" t="s">
        <v>26</v>
      </c>
      <c r="B13" s="4"/>
      <c r="C13" s="5"/>
      <c r="F13" t="s">
        <v>196</v>
      </c>
      <c r="G13" s="12"/>
      <c r="H13" s="9" t="s">
        <v>12</v>
      </c>
      <c r="I13" s="7">
        <v>24.3</v>
      </c>
      <c r="J13" s="7">
        <v>10</v>
      </c>
      <c r="K13" s="7">
        <v>32.64</v>
      </c>
      <c r="L13" s="7">
        <v>409</v>
      </c>
      <c r="M13" s="7">
        <f>Tabelle156[[#This Row],[Anzahl Frames]]/Tabelle156[[#This Row],[Aufnahmezeit '[s']]]</f>
        <v>12.530637254901961</v>
      </c>
      <c r="N13" s="7">
        <f>1/Tabelle156[[#This Row],[Mean fps ]]</f>
        <v>7.9804400977995113E-2</v>
      </c>
      <c r="O13" s="7">
        <v>40</v>
      </c>
      <c r="Q13" s="11" t="s">
        <v>101</v>
      </c>
      <c r="R13" s="7">
        <v>1.02</v>
      </c>
      <c r="S13" s="7">
        <v>0.71499999999999997</v>
      </c>
      <c r="T13" s="7">
        <v>1.48</v>
      </c>
      <c r="U13" s="7"/>
      <c r="V13" s="7"/>
      <c r="W13" s="7"/>
      <c r="X13" s="7"/>
      <c r="Y13" s="7" t="e" cm="1">
        <f t="array" ref="Y13">STABW</f>
        <v>#NAME?</v>
      </c>
      <c r="Z13" s="7"/>
      <c r="AA13" s="7"/>
      <c r="AB13" s="7" t="e">
        <f>Tabelle156[[#This Row],[Standardabweichung 1]]/Tabelle156[[#This Row],[Mean Visc. 1 '[mPas']]]</f>
        <v>#NAME?</v>
      </c>
      <c r="AC13" s="7"/>
      <c r="AD13" s="7"/>
      <c r="AE13" s="7"/>
      <c r="AF13" s="7">
        <f>1-Tabelle156[[#This Row],[Mean Visc. 1 '[mPas']]]/$AE$2</f>
        <v>1</v>
      </c>
      <c r="AG13" s="7"/>
      <c r="AH13" s="7"/>
    </row>
    <row r="14" spans="1:34" x14ac:dyDescent="0.3">
      <c r="A14" t="s">
        <v>27</v>
      </c>
      <c r="B14" s="4"/>
      <c r="C14" s="5"/>
      <c r="F14" t="s">
        <v>196</v>
      </c>
      <c r="G14" s="12"/>
      <c r="H14" s="9" t="s">
        <v>12</v>
      </c>
      <c r="I14" s="7">
        <v>24.3</v>
      </c>
      <c r="J14" s="7">
        <v>10</v>
      </c>
      <c r="K14" s="7">
        <v>30.64</v>
      </c>
      <c r="L14" s="7">
        <v>383</v>
      </c>
      <c r="M14" s="7">
        <f>Tabelle156[[#This Row],[Anzahl Frames]]/Tabelle156[[#This Row],[Aufnahmezeit '[s']]]</f>
        <v>12.5</v>
      </c>
      <c r="N14" s="7">
        <f>1/Tabelle156[[#This Row],[Mean fps ]]</f>
        <v>0.08</v>
      </c>
      <c r="O14" s="7">
        <v>40</v>
      </c>
      <c r="Q14" s="11" t="s">
        <v>102</v>
      </c>
      <c r="R14" s="7">
        <v>0.70299999999999996</v>
      </c>
      <c r="S14" s="7">
        <v>0.56100000000000005</v>
      </c>
      <c r="T14" s="7">
        <v>1.2949999999999999</v>
      </c>
      <c r="U14" s="7"/>
      <c r="V14" s="7"/>
      <c r="W14" s="7"/>
      <c r="X14" s="7"/>
      <c r="Y14" s="7" t="e" cm="1">
        <f t="array" ref="Y14">STABW</f>
        <v>#NAME?</v>
      </c>
      <c r="Z14" s="7"/>
      <c r="AA14" s="7"/>
      <c r="AB14" s="7" t="e">
        <f>Tabelle156[[#This Row],[Standardabweichung 1]]/Tabelle156[[#This Row],[Mean Visc. 1 '[mPas']]]</f>
        <v>#NAME?</v>
      </c>
      <c r="AC14" s="7"/>
      <c r="AD14" s="7"/>
      <c r="AE14" s="7"/>
      <c r="AF14" s="7">
        <f>1-Tabelle156[[#This Row],[Mean Visc. 1 '[mPas']]]/$AE$2</f>
        <v>1</v>
      </c>
      <c r="AG14" s="7"/>
      <c r="AH14" s="7"/>
    </row>
    <row r="15" spans="1:34" x14ac:dyDescent="0.3">
      <c r="A15" t="s">
        <v>28</v>
      </c>
      <c r="B15" s="4"/>
      <c r="C15" s="5"/>
      <c r="F15" t="s">
        <v>196</v>
      </c>
      <c r="G15" s="12"/>
      <c r="H15" s="9" t="s">
        <v>12</v>
      </c>
      <c r="I15" s="7">
        <v>24.3</v>
      </c>
      <c r="J15" s="7">
        <v>10</v>
      </c>
      <c r="K15" s="7">
        <v>29.44</v>
      </c>
      <c r="L15" s="7">
        <v>369</v>
      </c>
      <c r="M15" s="7">
        <f>Tabelle156[[#This Row],[Anzahl Frames]]/Tabelle156[[#This Row],[Aufnahmezeit '[s']]]</f>
        <v>12.533967391304348</v>
      </c>
      <c r="N15" s="7">
        <f>1/Tabelle156[[#This Row],[Mean fps ]]</f>
        <v>7.978319783197832E-2</v>
      </c>
      <c r="O15" s="7">
        <v>40</v>
      </c>
      <c r="Q15" s="11" t="s">
        <v>103</v>
      </c>
      <c r="R15" s="7">
        <v>0.82</v>
      </c>
      <c r="S15" s="7">
        <v>0.63</v>
      </c>
      <c r="T15" s="7">
        <v>1.2150000000000001</v>
      </c>
      <c r="U15" s="7"/>
      <c r="V15" s="7"/>
      <c r="W15" s="7"/>
      <c r="X15" s="7"/>
      <c r="Y15" s="7" t="e" cm="1">
        <f t="array" ref="Y15">STABW</f>
        <v>#NAME?</v>
      </c>
      <c r="Z15" s="7"/>
      <c r="AA15" s="7"/>
      <c r="AB15" s="7" t="e">
        <f>Tabelle156[[#This Row],[Standardabweichung 1]]/Tabelle156[[#This Row],[Mean Visc. 1 '[mPas']]]</f>
        <v>#NAME?</v>
      </c>
      <c r="AC15" s="7"/>
      <c r="AD15" s="7"/>
      <c r="AE15" s="7"/>
      <c r="AF15" s="7">
        <f>1-Tabelle156[[#This Row],[Mean Visc. 1 '[mPas']]]/$AE$2</f>
        <v>1</v>
      </c>
      <c r="AG15" s="7"/>
      <c r="AH15" s="7"/>
    </row>
    <row r="16" spans="1:34" x14ac:dyDescent="0.3">
      <c r="A16" t="s">
        <v>29</v>
      </c>
      <c r="B16" s="4"/>
      <c r="C16" s="5"/>
      <c r="F16" t="s">
        <v>196</v>
      </c>
      <c r="G16" s="12"/>
      <c r="H16" s="9" t="s">
        <v>12</v>
      </c>
      <c r="I16" s="7">
        <v>24.4</v>
      </c>
      <c r="J16" s="7">
        <v>10</v>
      </c>
      <c r="K16" s="7">
        <v>30.16</v>
      </c>
      <c r="L16" s="7">
        <v>378</v>
      </c>
      <c r="M16" s="7">
        <f>Tabelle156[[#This Row],[Anzahl Frames]]/Tabelle156[[#This Row],[Aufnahmezeit '[s']]]</f>
        <v>12.53315649867374</v>
      </c>
      <c r="N16" s="7">
        <f>1/Tabelle156[[#This Row],[Mean fps ]]</f>
        <v>7.9788359788359783E-2</v>
      </c>
      <c r="O16" s="7">
        <v>40</v>
      </c>
      <c r="Q16" s="11" t="s">
        <v>104</v>
      </c>
      <c r="R16" s="7">
        <v>0.83799999999999997</v>
      </c>
      <c r="S16" s="7">
        <v>0.71199999999999997</v>
      </c>
      <c r="T16" s="7">
        <v>1.304</v>
      </c>
      <c r="U16" s="7"/>
      <c r="V16" s="7"/>
      <c r="W16" s="7"/>
      <c r="X16" s="7"/>
      <c r="Y16" s="7" t="e" cm="1">
        <f t="array" ref="Y16">STABW</f>
        <v>#NAME?</v>
      </c>
      <c r="Z16" s="7"/>
      <c r="AA16" s="7"/>
      <c r="AB16" s="7" t="e">
        <f>Tabelle156[[#This Row],[Standardabweichung 1]]/Tabelle156[[#This Row],[Mean Visc. 1 '[mPas']]]</f>
        <v>#NAME?</v>
      </c>
      <c r="AC16" s="7"/>
      <c r="AD16" s="7"/>
      <c r="AE16" s="7"/>
      <c r="AF16" s="7">
        <f>1-Tabelle156[[#This Row],[Mean Visc. 1 '[mPas']]]/$AE$2</f>
        <v>1</v>
      </c>
      <c r="AG16" s="7"/>
      <c r="AH16" s="7"/>
    </row>
    <row r="17" spans="1:34" x14ac:dyDescent="0.3">
      <c r="A17" t="s">
        <v>30</v>
      </c>
      <c r="B17" s="4"/>
      <c r="C17" s="5"/>
      <c r="F17" t="s">
        <v>196</v>
      </c>
      <c r="G17" s="12"/>
      <c r="H17" s="9" t="s">
        <v>12</v>
      </c>
      <c r="I17" s="7">
        <v>24.4</v>
      </c>
      <c r="J17" s="7">
        <v>10</v>
      </c>
      <c r="K17" s="7">
        <v>30.8</v>
      </c>
      <c r="L17" s="7">
        <v>385</v>
      </c>
      <c r="M17" s="7">
        <f>Tabelle156[[#This Row],[Anzahl Frames]]/Tabelle156[[#This Row],[Aufnahmezeit '[s']]]</f>
        <v>12.5</v>
      </c>
      <c r="N17" s="7">
        <f>1/Tabelle156[[#This Row],[Mean fps ]]</f>
        <v>0.08</v>
      </c>
      <c r="O17" s="7">
        <v>40</v>
      </c>
      <c r="Q17" s="11" t="s">
        <v>105</v>
      </c>
      <c r="R17" s="7">
        <v>0.872</v>
      </c>
      <c r="S17" s="7">
        <v>0.79600000000000004</v>
      </c>
      <c r="T17" s="7">
        <v>1.3380000000000001</v>
      </c>
      <c r="U17" s="7"/>
      <c r="V17" s="7"/>
      <c r="W17" s="7"/>
      <c r="X17" s="7"/>
      <c r="Y17" s="7" t="e" cm="1">
        <f t="array" ref="Y17">STABW</f>
        <v>#NAME?</v>
      </c>
      <c r="Z17" s="7"/>
      <c r="AA17" s="7"/>
      <c r="AB17" s="7" t="e">
        <f>Tabelle156[[#This Row],[Standardabweichung 1]]/Tabelle156[[#This Row],[Mean Visc. 1 '[mPas']]]</f>
        <v>#NAME?</v>
      </c>
      <c r="AC17" s="7"/>
      <c r="AD17" s="7"/>
      <c r="AE17" s="7"/>
      <c r="AF17" s="7">
        <f>1-Tabelle156[[#This Row],[Mean Visc. 1 '[mPas']]]/$AE$2</f>
        <v>1</v>
      </c>
      <c r="AG17" s="7"/>
      <c r="AH17" s="7"/>
    </row>
    <row r="18" spans="1:34" x14ac:dyDescent="0.3">
      <c r="A18" t="s">
        <v>31</v>
      </c>
      <c r="B18" s="4"/>
      <c r="C18" s="5"/>
      <c r="F18" t="s">
        <v>196</v>
      </c>
      <c r="G18" s="12"/>
      <c r="H18" s="9" t="s">
        <v>12</v>
      </c>
      <c r="I18" s="7">
        <v>24.5</v>
      </c>
      <c r="J18" s="7">
        <v>10</v>
      </c>
      <c r="K18" s="7">
        <v>30.71</v>
      </c>
      <c r="L18" s="7">
        <v>384</v>
      </c>
      <c r="M18" s="7">
        <f>Tabelle156[[#This Row],[Anzahl Frames]]/Tabelle156[[#This Row],[Aufnahmezeit '[s']]]</f>
        <v>12.504070335395637</v>
      </c>
      <c r="N18" s="7">
        <f>1/Tabelle156[[#This Row],[Mean fps ]]</f>
        <v>7.9973958333333331E-2</v>
      </c>
      <c r="O18" s="7">
        <v>40</v>
      </c>
      <c r="Q18" s="11" t="s">
        <v>106</v>
      </c>
      <c r="R18" s="7">
        <v>0.90500000000000003</v>
      </c>
      <c r="S18" s="7">
        <v>0.74099999999999999</v>
      </c>
      <c r="T18" s="7">
        <v>1.3660000000000001</v>
      </c>
      <c r="U18" s="7"/>
      <c r="V18" s="7"/>
      <c r="W18" s="7"/>
      <c r="X18" s="7"/>
      <c r="Y18" s="7" t="e" cm="1">
        <f t="array" ref="Y18">STABW</f>
        <v>#NAME?</v>
      </c>
      <c r="Z18" s="7"/>
      <c r="AA18" s="7"/>
      <c r="AB18" s="7" t="e">
        <f>Tabelle156[[#This Row],[Standardabweichung 1]]/Tabelle156[[#This Row],[Mean Visc. 1 '[mPas']]]</f>
        <v>#NAME?</v>
      </c>
      <c r="AC18" s="7"/>
      <c r="AD18" s="7"/>
      <c r="AE18" s="7"/>
      <c r="AF18" s="7">
        <f>1-Tabelle156[[#This Row],[Mean Visc. 1 '[mPas']]]/$AE$2</f>
        <v>1</v>
      </c>
      <c r="AG18" s="7"/>
      <c r="AH18" s="7"/>
    </row>
    <row r="19" spans="1:34" x14ac:dyDescent="0.3">
      <c r="A19" t="s">
        <v>32</v>
      </c>
      <c r="B19" s="4"/>
      <c r="C19" s="5"/>
      <c r="F19" t="s">
        <v>196</v>
      </c>
      <c r="G19" s="12"/>
      <c r="H19" s="9" t="s">
        <v>12</v>
      </c>
      <c r="I19" s="7">
        <v>24.5</v>
      </c>
      <c r="J19" s="7">
        <v>10</v>
      </c>
      <c r="K19" s="7">
        <v>29.92</v>
      </c>
      <c r="L19" s="7">
        <v>374</v>
      </c>
      <c r="M19" s="7">
        <f>Tabelle156[[#This Row],[Anzahl Frames]]/Tabelle156[[#This Row],[Aufnahmezeit '[s']]]</f>
        <v>12.5</v>
      </c>
      <c r="N19" s="7">
        <f>1/Tabelle156[[#This Row],[Mean fps ]]</f>
        <v>0.08</v>
      </c>
      <c r="O19" s="7">
        <v>40</v>
      </c>
      <c r="Q19" s="11" t="s">
        <v>107</v>
      </c>
      <c r="R19" s="7">
        <v>0.79900000000000004</v>
      </c>
      <c r="S19" s="7">
        <v>0.57199999999999995</v>
      </c>
      <c r="T19" s="7">
        <v>1.306</v>
      </c>
      <c r="U19" s="7"/>
      <c r="V19" s="7"/>
      <c r="W19" s="7"/>
      <c r="X19" s="7"/>
      <c r="Y19" s="7" t="e" cm="1">
        <f t="array" ref="Y19">STABW</f>
        <v>#NAME?</v>
      </c>
      <c r="Z19" s="7"/>
      <c r="AA19" s="7"/>
      <c r="AB19" s="7" t="e">
        <f>Tabelle156[[#This Row],[Standardabweichung 1]]/Tabelle156[[#This Row],[Mean Visc. 1 '[mPas']]]</f>
        <v>#NAME?</v>
      </c>
      <c r="AC19" s="7"/>
      <c r="AD19" s="7"/>
      <c r="AE19" s="7"/>
      <c r="AF19" s="7">
        <f>1-Tabelle156[[#This Row],[Mean Visc. 1 '[mPas']]]/$AE$2</f>
        <v>1</v>
      </c>
      <c r="AG19" s="7"/>
      <c r="AH19" s="7"/>
    </row>
    <row r="20" spans="1:34" x14ac:dyDescent="0.3">
      <c r="A20" t="s">
        <v>33</v>
      </c>
      <c r="B20" s="4"/>
      <c r="C20" s="5"/>
      <c r="F20" t="s">
        <v>196</v>
      </c>
      <c r="G20" s="12"/>
      <c r="H20" s="9" t="s">
        <v>12</v>
      </c>
      <c r="I20" s="7">
        <v>24.6</v>
      </c>
      <c r="J20" s="7">
        <v>10</v>
      </c>
      <c r="K20" s="7">
        <v>32.96</v>
      </c>
      <c r="L20" s="7">
        <v>412</v>
      </c>
      <c r="M20" s="7">
        <f>Tabelle156[[#This Row],[Anzahl Frames]]/Tabelle156[[#This Row],[Aufnahmezeit '[s']]]</f>
        <v>12.5</v>
      </c>
      <c r="N20" s="7">
        <f>1/Tabelle156[[#This Row],[Mean fps ]]</f>
        <v>0.08</v>
      </c>
      <c r="O20" s="7">
        <v>40</v>
      </c>
      <c r="Q20" s="11" t="s">
        <v>108</v>
      </c>
      <c r="R20" s="7">
        <v>0.88</v>
      </c>
      <c r="S20" s="7">
        <v>0.65100000000000002</v>
      </c>
      <c r="T20" s="7">
        <v>1.3049999999999999</v>
      </c>
      <c r="U20" s="7"/>
      <c r="V20" s="7"/>
      <c r="W20" s="7"/>
      <c r="X20" s="7"/>
      <c r="Y20" s="7" t="e" cm="1">
        <f t="array" ref="Y20">STABW</f>
        <v>#NAME?</v>
      </c>
      <c r="Z20" s="7"/>
      <c r="AA20" s="7"/>
      <c r="AB20" s="7" t="e">
        <f>Tabelle156[[#This Row],[Standardabweichung 1]]/Tabelle156[[#This Row],[Mean Visc. 1 '[mPas']]]</f>
        <v>#NAME?</v>
      </c>
      <c r="AC20" s="7"/>
      <c r="AD20" s="7"/>
      <c r="AE20" s="7"/>
      <c r="AF20" s="7">
        <f>1-Tabelle156[[#This Row],[Mean Visc. 1 '[mPas']]]/$AE$2</f>
        <v>1</v>
      </c>
      <c r="AG20" s="7"/>
      <c r="AH20" s="7"/>
    </row>
    <row r="21" spans="1:34" s="14" customFormat="1" ht="15" thickBot="1" x14ac:dyDescent="0.35">
      <c r="A21" s="14" t="s">
        <v>34</v>
      </c>
      <c r="B21" s="15"/>
      <c r="C21" s="16"/>
      <c r="D21" s="17"/>
      <c r="F21" t="s">
        <v>196</v>
      </c>
      <c r="G21" s="18"/>
      <c r="H21" s="9" t="s">
        <v>12</v>
      </c>
      <c r="I21" s="17">
        <v>24.7</v>
      </c>
      <c r="J21" s="17">
        <v>10</v>
      </c>
      <c r="K21" s="17">
        <v>30.56</v>
      </c>
      <c r="L21" s="17">
        <v>383</v>
      </c>
      <c r="M21" s="17">
        <f>Tabelle156[[#This Row],[Anzahl Frames]]/Tabelle156[[#This Row],[Aufnahmezeit '[s']]]</f>
        <v>12.532722513089006</v>
      </c>
      <c r="N21" s="17">
        <f>1/Tabelle156[[#This Row],[Mean fps ]]</f>
        <v>7.97911227154047E-2</v>
      </c>
      <c r="O21" s="17">
        <v>40</v>
      </c>
      <c r="P21" s="20"/>
      <c r="Q21" s="11" t="s">
        <v>109</v>
      </c>
      <c r="R21" s="17">
        <v>0.84799999999999998</v>
      </c>
      <c r="S21" s="17">
        <v>0.69499999999999995</v>
      </c>
      <c r="T21" s="17">
        <v>1.2949999999999999</v>
      </c>
      <c r="U21" s="17"/>
      <c r="V21" s="7">
        <f>SUM(R12:R21)/10</f>
        <v>0.85680000000000001</v>
      </c>
      <c r="W21" s="7">
        <f t="shared" ref="W21" si="1">SUM(S12:S21)/10</f>
        <v>0.67800000000000005</v>
      </c>
      <c r="X21" s="7">
        <f t="shared" ref="X21" si="2">SUM(T12:T21)/10</f>
        <v>1.3264</v>
      </c>
      <c r="Y21" s="17">
        <f>_xlfn.STDEV.S(R12:R21)</f>
        <v>8.1099116312489311E-2</v>
      </c>
      <c r="Z21" s="17">
        <f>_xlfn.STDEV.S(S12:S21)</f>
        <v>7.416647940051202E-2</v>
      </c>
      <c r="AA21" s="17">
        <f>_xlfn.STDEV.S(T12:T21)</f>
        <v>6.8461181214855865E-2</v>
      </c>
      <c r="AB21" s="17">
        <f>Tabelle156[[#This Row],[Standardabweichung 1]]/Tabelle156[[#This Row],[Mean Visc. 1 '[mPas']]]</f>
        <v>9.4653497096742895E-2</v>
      </c>
      <c r="AC21" s="17">
        <f>Tabelle156[[#This Row],[Standardabweichung 2]]/Tabelle156[[#This Row],[Mean Visc. 2 '[mPas']2]]</f>
        <v>0.10939008761137466</v>
      </c>
      <c r="AD21" s="17">
        <f>Tabelle156[[#This Row],[Standardabweichung 3]]/Tabelle156[[#This Row],[Mean Visc. 3 '[mPas']3]]</f>
        <v>5.1614280168015579E-2</v>
      </c>
      <c r="AE21" s="17"/>
      <c r="AF21" s="17">
        <f>1-Tabelle156[[#This Row],[Mean Visc. 1 '[mPas']]]/$AE2</f>
        <v>5.949506037321628E-2</v>
      </c>
      <c r="AG21" s="17">
        <f>1-Tabelle156[[#This Row],[Mean Visc. 2 '[mPas']2]]/$AE2</f>
        <v>0.25576289791437978</v>
      </c>
      <c r="AH21" s="17">
        <f>1-Tabelle156[[#This Row],[Mean Visc. 3 '[mPas']3]]/$AE2</f>
        <v>-0.45598243688254669</v>
      </c>
    </row>
    <row r="22" spans="1:34" ht="15" thickTop="1" x14ac:dyDescent="0.3">
      <c r="A22" t="s">
        <v>35</v>
      </c>
      <c r="B22" s="4"/>
      <c r="C22" s="5"/>
      <c r="F22" t="s">
        <v>52</v>
      </c>
      <c r="G22" s="12"/>
      <c r="H22" s="9" t="s">
        <v>12</v>
      </c>
      <c r="I22" s="7">
        <v>24.7</v>
      </c>
      <c r="J22" s="7">
        <v>10</v>
      </c>
      <c r="K22" s="7">
        <v>31.12</v>
      </c>
      <c r="L22" s="7">
        <v>389</v>
      </c>
      <c r="M22" s="7">
        <f>Tabelle156[[#This Row],[Anzahl Frames]]/Tabelle156[[#This Row],[Aufnahmezeit '[s']]]</f>
        <v>12.5</v>
      </c>
      <c r="N22" s="7">
        <f>1/Tabelle156[[#This Row],[Mean fps ]]</f>
        <v>0.08</v>
      </c>
      <c r="O22" s="7">
        <v>40</v>
      </c>
      <c r="Q22" s="11" t="s">
        <v>110</v>
      </c>
      <c r="R22" s="7">
        <v>1.0509999999999999</v>
      </c>
      <c r="S22" s="7">
        <v>0.99399999999999999</v>
      </c>
      <c r="T22" s="7">
        <v>1.71</v>
      </c>
      <c r="U22" s="7"/>
      <c r="V22" s="7"/>
      <c r="W22" s="7"/>
      <c r="X22" s="7"/>
      <c r="Y22" s="7" t="e" cm="1">
        <f t="array" ref="Y22">STABW</f>
        <v>#NAME?</v>
      </c>
      <c r="Z22" s="7"/>
      <c r="AA22" s="7"/>
      <c r="AB22" s="7" t="e">
        <f>Tabelle156[[#This Row],[Standardabweichung 1]]/Tabelle156[[#This Row],[Mean Visc. 1 '[mPas']]]</f>
        <v>#NAME?</v>
      </c>
      <c r="AC22" s="7"/>
      <c r="AD22" s="7"/>
      <c r="AE22" s="7">
        <v>1.1299999999999999</v>
      </c>
      <c r="AF22" s="7">
        <f>1-Tabelle156[[#This Row],[Mean Visc. 1 '[mPas']]]/$AE$2</f>
        <v>1</v>
      </c>
      <c r="AG22" s="7"/>
      <c r="AH22" s="7"/>
    </row>
    <row r="23" spans="1:34" x14ac:dyDescent="0.3">
      <c r="A23" t="s">
        <v>36</v>
      </c>
      <c r="B23" s="4"/>
      <c r="C23" s="5"/>
      <c r="F23" t="s">
        <v>52</v>
      </c>
      <c r="G23" s="12"/>
      <c r="H23" s="9" t="s">
        <v>12</v>
      </c>
      <c r="I23" s="7">
        <v>24.8</v>
      </c>
      <c r="J23" s="7">
        <v>10</v>
      </c>
      <c r="K23" s="7">
        <v>31.52</v>
      </c>
      <c r="L23" s="7">
        <v>394</v>
      </c>
      <c r="M23" s="7">
        <f>Tabelle156[[#This Row],[Anzahl Frames]]/Tabelle156[[#This Row],[Aufnahmezeit '[s']]]</f>
        <v>12.5</v>
      </c>
      <c r="N23" s="7">
        <f>1/Tabelle156[[#This Row],[Mean fps ]]</f>
        <v>0.08</v>
      </c>
      <c r="O23" s="7">
        <v>40</v>
      </c>
      <c r="Q23" s="11" t="s">
        <v>111</v>
      </c>
      <c r="R23" s="7">
        <v>1.127</v>
      </c>
      <c r="S23" s="7">
        <v>0.92700000000000005</v>
      </c>
      <c r="T23" s="7">
        <v>1.7789999999999999</v>
      </c>
      <c r="U23" s="7"/>
      <c r="V23" s="7"/>
      <c r="W23" s="7"/>
      <c r="X23" s="7"/>
      <c r="Y23" s="7" t="e" cm="1">
        <f t="array" ref="Y23">STABW</f>
        <v>#NAME?</v>
      </c>
      <c r="Z23" s="7"/>
      <c r="AA23" s="7"/>
      <c r="AB23" s="7" t="e">
        <f>Tabelle156[[#This Row],[Standardabweichung 1]]/Tabelle156[[#This Row],[Mean Visc. 1 '[mPas']]]</f>
        <v>#NAME?</v>
      </c>
      <c r="AC23" s="7"/>
      <c r="AD23" s="7"/>
      <c r="AE23" s="7"/>
      <c r="AF23" s="7">
        <f>1-Tabelle156[[#This Row],[Mean Visc. 1 '[mPas']]]/$AE$2</f>
        <v>1</v>
      </c>
      <c r="AG23" s="7"/>
      <c r="AH23" s="7"/>
    </row>
    <row r="24" spans="1:34" x14ac:dyDescent="0.3">
      <c r="A24" t="s">
        <v>37</v>
      </c>
      <c r="B24" s="4"/>
      <c r="C24" s="5"/>
      <c r="F24" t="s">
        <v>52</v>
      </c>
      <c r="G24" s="12"/>
      <c r="H24" s="9" t="s">
        <v>12</v>
      </c>
      <c r="I24" s="7">
        <v>24.8</v>
      </c>
      <c r="J24" s="7">
        <v>10</v>
      </c>
      <c r="K24" s="7">
        <v>31.04</v>
      </c>
      <c r="L24" s="7">
        <v>388</v>
      </c>
      <c r="M24" s="7">
        <f>Tabelle156[[#This Row],[Anzahl Frames]]/Tabelle156[[#This Row],[Aufnahmezeit '[s']]]</f>
        <v>12.5</v>
      </c>
      <c r="N24" s="7">
        <f>1/Tabelle156[[#This Row],[Mean fps ]]</f>
        <v>0.08</v>
      </c>
      <c r="O24" s="7">
        <v>40</v>
      </c>
      <c r="Q24" s="11" t="s">
        <v>112</v>
      </c>
      <c r="R24" s="7">
        <v>1.1060000000000001</v>
      </c>
      <c r="S24" s="7">
        <v>0.95</v>
      </c>
      <c r="T24" s="7">
        <v>1.7050000000000001</v>
      </c>
      <c r="U24" s="7"/>
      <c r="V24" s="7"/>
      <c r="W24" s="7"/>
      <c r="X24" s="7"/>
      <c r="Y24" s="7" t="e" cm="1">
        <f t="array" ref="Y24">STABW</f>
        <v>#NAME?</v>
      </c>
      <c r="Z24" s="7"/>
      <c r="AA24" s="7"/>
      <c r="AB24" s="7" t="e">
        <f>Tabelle156[[#This Row],[Standardabweichung 1]]/Tabelle156[[#This Row],[Mean Visc. 1 '[mPas']]]</f>
        <v>#NAME?</v>
      </c>
      <c r="AC24" s="7"/>
      <c r="AD24" s="7"/>
      <c r="AE24" s="7"/>
      <c r="AF24" s="7">
        <f>1-Tabelle156[[#This Row],[Mean Visc. 1 '[mPas']]]/$AE$2</f>
        <v>1</v>
      </c>
      <c r="AG24" s="7"/>
      <c r="AH24" s="7"/>
    </row>
    <row r="25" spans="1:34" x14ac:dyDescent="0.3">
      <c r="A25" t="s">
        <v>38</v>
      </c>
      <c r="B25" s="4"/>
      <c r="C25" s="5"/>
      <c r="F25" t="s">
        <v>52</v>
      </c>
      <c r="G25" s="12"/>
      <c r="H25" s="9" t="s">
        <v>12</v>
      </c>
      <c r="I25" s="7">
        <v>24.9</v>
      </c>
      <c r="J25" s="7">
        <v>10</v>
      </c>
      <c r="K25" s="7">
        <v>30.79</v>
      </c>
      <c r="L25" s="7">
        <v>385</v>
      </c>
      <c r="M25" s="7">
        <f>Tabelle156[[#This Row],[Anzahl Frames]]/Tabelle156[[#This Row],[Aufnahmezeit '[s']]]</f>
        <v>12.504059759662228</v>
      </c>
      <c r="N25" s="7">
        <f>1/Tabelle156[[#This Row],[Mean fps ]]</f>
        <v>7.9974025974025975E-2</v>
      </c>
      <c r="O25" s="7">
        <v>40</v>
      </c>
      <c r="Q25" s="11" t="s">
        <v>113</v>
      </c>
      <c r="R25" s="7">
        <v>1.1739999999999999</v>
      </c>
      <c r="S25" s="7">
        <v>0.93700000000000006</v>
      </c>
      <c r="T25" s="7">
        <v>1.734</v>
      </c>
      <c r="U25" s="7"/>
      <c r="V25" s="7"/>
      <c r="W25" s="7"/>
      <c r="X25" s="7"/>
      <c r="Y25" s="7" t="e" cm="1">
        <f t="array" ref="Y25">STABW</f>
        <v>#NAME?</v>
      </c>
      <c r="Z25" s="7"/>
      <c r="AA25" s="7"/>
      <c r="AB25" s="7" t="e">
        <f>Tabelle156[[#This Row],[Standardabweichung 1]]/Tabelle156[[#This Row],[Mean Visc. 1 '[mPas']]]</f>
        <v>#NAME?</v>
      </c>
      <c r="AC25" s="7"/>
      <c r="AD25" s="7"/>
      <c r="AE25" s="7"/>
      <c r="AF25" s="7">
        <f>1-Tabelle156[[#This Row],[Mean Visc. 1 '[mPas']]]/$AE$2</f>
        <v>1</v>
      </c>
      <c r="AG25" s="7"/>
      <c r="AH25" s="7"/>
    </row>
    <row r="26" spans="1:34" x14ac:dyDescent="0.3">
      <c r="A26" t="s">
        <v>39</v>
      </c>
      <c r="B26" s="4"/>
      <c r="C26" s="5"/>
      <c r="F26" t="s">
        <v>52</v>
      </c>
      <c r="G26" s="12"/>
      <c r="H26" s="9" t="s">
        <v>12</v>
      </c>
      <c r="I26" s="7">
        <v>24.9</v>
      </c>
      <c r="J26" s="7">
        <v>10</v>
      </c>
      <c r="K26" s="7">
        <v>30.82</v>
      </c>
      <c r="L26" s="7">
        <v>385</v>
      </c>
      <c r="M26" s="7">
        <f>Tabelle156[[#This Row],[Anzahl Frames]]/Tabelle156[[#This Row],[Aufnahmezeit '[s']]]</f>
        <v>12.491888384166126</v>
      </c>
      <c r="N26" s="7">
        <f>1/Tabelle156[[#This Row],[Mean fps ]]</f>
        <v>8.0051948051948055E-2</v>
      </c>
      <c r="O26" s="7">
        <v>40</v>
      </c>
      <c r="Q26" s="11" t="s">
        <v>114</v>
      </c>
      <c r="R26" s="7">
        <v>1.236</v>
      </c>
      <c r="S26" s="7">
        <v>1.0269999999999999</v>
      </c>
      <c r="T26" s="7">
        <v>1.738</v>
      </c>
      <c r="U26" s="7"/>
      <c r="V26" s="7"/>
      <c r="W26" s="7"/>
      <c r="X26" s="7"/>
      <c r="Y26" s="7" t="e" cm="1">
        <f t="array" ref="Y26">STABW</f>
        <v>#NAME?</v>
      </c>
      <c r="Z26" s="7"/>
      <c r="AA26" s="7"/>
      <c r="AB26" s="7" t="e">
        <f>Tabelle156[[#This Row],[Standardabweichung 1]]/Tabelle156[[#This Row],[Mean Visc. 1 '[mPas']]]</f>
        <v>#NAME?</v>
      </c>
      <c r="AC26" s="7"/>
      <c r="AD26" s="7"/>
      <c r="AE26" s="7"/>
      <c r="AF26" s="7">
        <f>1-Tabelle156[[#This Row],[Mean Visc. 1 '[mPas']]]/$AE$2</f>
        <v>1</v>
      </c>
      <c r="AG26" s="7"/>
      <c r="AH26" s="7"/>
    </row>
    <row r="27" spans="1:34" x14ac:dyDescent="0.3">
      <c r="A27" t="s">
        <v>55</v>
      </c>
      <c r="B27" s="4"/>
      <c r="C27" s="5"/>
      <c r="F27" t="s">
        <v>52</v>
      </c>
      <c r="G27" s="12"/>
      <c r="H27" s="9" t="s">
        <v>12</v>
      </c>
      <c r="I27" s="7">
        <v>25</v>
      </c>
      <c r="J27" s="7">
        <v>10</v>
      </c>
      <c r="K27" s="7">
        <v>31.84</v>
      </c>
      <c r="L27" s="7">
        <v>398</v>
      </c>
      <c r="M27" s="7">
        <f>Tabelle156[[#This Row],[Anzahl Frames]]/Tabelle156[[#This Row],[Aufnahmezeit '[s']]]</f>
        <v>12.5</v>
      </c>
      <c r="N27" s="7">
        <f>1/Tabelle156[[#This Row],[Mean fps ]]</f>
        <v>0.08</v>
      </c>
      <c r="O27" s="7">
        <v>40</v>
      </c>
      <c r="Q27" s="11" t="s">
        <v>115</v>
      </c>
      <c r="R27" s="7">
        <v>1.177</v>
      </c>
      <c r="S27" s="7">
        <v>0.995</v>
      </c>
      <c r="T27" s="7">
        <v>1.7689999999999999</v>
      </c>
      <c r="U27" s="7"/>
      <c r="V27" s="7"/>
      <c r="W27" s="7"/>
      <c r="X27" s="7"/>
      <c r="Y27" s="7" t="e" cm="1">
        <f t="array" ref="Y27">STABW</f>
        <v>#NAME?</v>
      </c>
      <c r="Z27" s="7"/>
      <c r="AA27" s="7"/>
      <c r="AB27" s="7" t="e">
        <f>Tabelle156[[#This Row],[Standardabweichung 1]]/Tabelle156[[#This Row],[Mean Visc. 1 '[mPas']]]</f>
        <v>#NAME?</v>
      </c>
      <c r="AC27" s="7"/>
      <c r="AD27" s="7"/>
      <c r="AE27" s="7"/>
      <c r="AF27" s="7">
        <f>1-Tabelle156[[#This Row],[Mean Visc. 1 '[mPas']]]/$AE$2</f>
        <v>1</v>
      </c>
      <c r="AG27" s="7"/>
      <c r="AH27" s="7"/>
    </row>
    <row r="28" spans="1:34" x14ac:dyDescent="0.3">
      <c r="A28" t="s">
        <v>56</v>
      </c>
      <c r="B28" s="4"/>
      <c r="C28" s="5"/>
      <c r="F28" t="s">
        <v>52</v>
      </c>
      <c r="G28" s="12"/>
      <c r="H28" s="9" t="s">
        <v>12</v>
      </c>
      <c r="I28" s="7">
        <v>25</v>
      </c>
      <c r="J28" s="7">
        <v>10</v>
      </c>
      <c r="K28" s="7">
        <v>30.16</v>
      </c>
      <c r="L28" s="7">
        <v>377</v>
      </c>
      <c r="M28" s="7">
        <f>Tabelle156[[#This Row],[Anzahl Frames]]/Tabelle156[[#This Row],[Aufnahmezeit '[s']]]</f>
        <v>12.5</v>
      </c>
      <c r="N28" s="7">
        <f>1/Tabelle156[[#This Row],[Mean fps ]]</f>
        <v>0.08</v>
      </c>
      <c r="O28" s="7">
        <v>40</v>
      </c>
      <c r="Q28" s="11" t="s">
        <v>116</v>
      </c>
      <c r="R28" s="7">
        <v>1.298</v>
      </c>
      <c r="S28" s="7">
        <v>0.97199999999999998</v>
      </c>
      <c r="T28" s="7">
        <v>1.77</v>
      </c>
      <c r="U28" s="7"/>
      <c r="V28" s="7"/>
      <c r="W28" s="7"/>
      <c r="X28" s="7"/>
      <c r="Y28" s="7" t="e" cm="1">
        <f t="array" ref="Y28">STABW</f>
        <v>#NAME?</v>
      </c>
      <c r="Z28" s="7"/>
      <c r="AA28" s="7"/>
      <c r="AB28" s="7" t="e">
        <f>Tabelle156[[#This Row],[Standardabweichung 1]]/Tabelle156[[#This Row],[Mean Visc. 1 '[mPas']]]</f>
        <v>#NAME?</v>
      </c>
      <c r="AC28" s="7"/>
      <c r="AD28" s="7"/>
      <c r="AE28" s="7"/>
      <c r="AF28" s="7">
        <f>1-Tabelle156[[#This Row],[Mean Visc. 1 '[mPas']]]/$AE$2</f>
        <v>1</v>
      </c>
      <c r="AG28" s="7"/>
      <c r="AH28" s="7"/>
    </row>
    <row r="29" spans="1:34" x14ac:dyDescent="0.3">
      <c r="A29" t="s">
        <v>57</v>
      </c>
      <c r="B29" s="4"/>
      <c r="C29" s="5"/>
      <c r="F29" t="s">
        <v>52</v>
      </c>
      <c r="G29" s="12"/>
      <c r="H29" s="9" t="s">
        <v>12</v>
      </c>
      <c r="I29" s="7">
        <v>25</v>
      </c>
      <c r="J29" s="7">
        <v>10</v>
      </c>
      <c r="K29" s="7">
        <v>31.76</v>
      </c>
      <c r="L29" s="7">
        <v>397</v>
      </c>
      <c r="M29" s="7">
        <f>Tabelle156[[#This Row],[Anzahl Frames]]/Tabelle156[[#This Row],[Aufnahmezeit '[s']]]</f>
        <v>12.5</v>
      </c>
      <c r="N29" s="7">
        <f>1/Tabelle156[[#This Row],[Mean fps ]]</f>
        <v>0.08</v>
      </c>
      <c r="O29" s="7">
        <v>40</v>
      </c>
      <c r="Q29" s="11" t="s">
        <v>117</v>
      </c>
      <c r="R29" s="7">
        <v>1.2210000000000001</v>
      </c>
      <c r="S29" s="7">
        <v>1.079</v>
      </c>
      <c r="T29" s="7">
        <v>1.786</v>
      </c>
      <c r="U29" s="7"/>
      <c r="V29" s="7"/>
      <c r="W29" s="7"/>
      <c r="X29" s="7"/>
      <c r="Y29" s="7" t="e" cm="1">
        <f t="array" ref="Y29">STABW</f>
        <v>#NAME?</v>
      </c>
      <c r="Z29" s="7"/>
      <c r="AA29" s="7"/>
      <c r="AB29" s="7" t="e">
        <f>Tabelle156[[#This Row],[Standardabweichung 1]]/Tabelle156[[#This Row],[Mean Visc. 1 '[mPas']]]</f>
        <v>#NAME?</v>
      </c>
      <c r="AC29" s="7"/>
      <c r="AD29" s="7"/>
      <c r="AE29" s="7"/>
      <c r="AF29" s="7">
        <f>1-Tabelle156[[#This Row],[Mean Visc. 1 '[mPas']]]/$AE$2</f>
        <v>1</v>
      </c>
      <c r="AG29" s="7"/>
      <c r="AH29" s="7"/>
    </row>
    <row r="30" spans="1:34" x14ac:dyDescent="0.3">
      <c r="A30" t="s">
        <v>58</v>
      </c>
      <c r="B30" s="4"/>
      <c r="C30" s="5"/>
      <c r="F30" t="s">
        <v>52</v>
      </c>
      <c r="G30" s="12"/>
      <c r="H30" s="9" t="s">
        <v>12</v>
      </c>
      <c r="I30" s="7">
        <v>25</v>
      </c>
      <c r="J30" s="7">
        <v>10</v>
      </c>
      <c r="K30" s="7">
        <v>30.56</v>
      </c>
      <c r="L30" s="7">
        <v>383</v>
      </c>
      <c r="M30" s="7">
        <f>Tabelle156[[#This Row],[Anzahl Frames]]/Tabelle156[[#This Row],[Aufnahmezeit '[s']]]</f>
        <v>12.532722513089006</v>
      </c>
      <c r="N30" s="7">
        <f>1/Tabelle156[[#This Row],[Mean fps ]]</f>
        <v>7.97911227154047E-2</v>
      </c>
      <c r="O30" s="7">
        <v>40</v>
      </c>
      <c r="Q30" s="11" t="s">
        <v>118</v>
      </c>
      <c r="R30" s="7">
        <v>1.1679999999999999</v>
      </c>
      <c r="S30" s="7">
        <v>0.93799999999999994</v>
      </c>
      <c r="T30" s="7">
        <v>1.7529999999999999</v>
      </c>
      <c r="U30" s="7"/>
      <c r="V30" s="7"/>
      <c r="W30" s="7"/>
      <c r="X30" s="7"/>
      <c r="Y30" s="7" t="e" cm="1">
        <f t="array" ref="Y30">STABW</f>
        <v>#NAME?</v>
      </c>
      <c r="Z30" s="7"/>
      <c r="AA30" s="7"/>
      <c r="AB30" s="7" t="e">
        <f>Tabelle156[[#This Row],[Standardabweichung 1]]/Tabelle156[[#This Row],[Mean Visc. 1 '[mPas']]]</f>
        <v>#NAME?</v>
      </c>
      <c r="AC30" s="7"/>
      <c r="AD30" s="7"/>
      <c r="AE30" s="7"/>
      <c r="AF30" s="7">
        <f>1-Tabelle156[[#This Row],[Mean Visc. 1 '[mPas']]]/$AE$2</f>
        <v>1</v>
      </c>
      <c r="AG30" s="7"/>
      <c r="AH30" s="7"/>
    </row>
    <row r="31" spans="1:34" s="14" customFormat="1" ht="15" thickBot="1" x14ac:dyDescent="0.35">
      <c r="A31" s="14" t="s">
        <v>59</v>
      </c>
      <c r="B31" s="15"/>
      <c r="C31" s="16"/>
      <c r="D31" s="17"/>
      <c r="F31" s="14" t="s">
        <v>52</v>
      </c>
      <c r="G31" s="18"/>
      <c r="H31" s="19" t="s">
        <v>12</v>
      </c>
      <c r="I31" s="17">
        <v>25.1</v>
      </c>
      <c r="J31" s="17">
        <v>10</v>
      </c>
      <c r="K31" s="17">
        <v>30.96</v>
      </c>
      <c r="L31" s="17">
        <v>387</v>
      </c>
      <c r="M31" s="17">
        <f>Tabelle156[[#This Row],[Anzahl Frames]]/Tabelle156[[#This Row],[Aufnahmezeit '[s']]]</f>
        <v>12.5</v>
      </c>
      <c r="N31" s="17">
        <f>1/Tabelle156[[#This Row],[Mean fps ]]</f>
        <v>0.08</v>
      </c>
      <c r="O31" s="17">
        <v>40</v>
      </c>
      <c r="P31" s="20"/>
      <c r="Q31" s="11" t="s">
        <v>119</v>
      </c>
      <c r="R31" s="17">
        <v>1.23</v>
      </c>
      <c r="S31" s="17">
        <v>1.0409999999999999</v>
      </c>
      <c r="T31" s="17">
        <v>1.7270000000000001</v>
      </c>
      <c r="U31" s="17"/>
      <c r="V31" s="7">
        <f>SUM(R22:R31)/10</f>
        <v>1.1788000000000001</v>
      </c>
      <c r="W31" s="7">
        <f t="shared" ref="W31" si="3">SUM(S22:S31)/10</f>
        <v>0.98599999999999999</v>
      </c>
      <c r="X31" s="7">
        <f t="shared" ref="X31" si="4">SUM(T22:T31)/10</f>
        <v>1.7471000000000001</v>
      </c>
      <c r="Y31" s="17">
        <f>_xlfn.STDEV.S(R22:R31)</f>
        <v>7.175699733591609E-2</v>
      </c>
      <c r="Z31" s="17">
        <f>_xlfn.STDEV.S(S22:S31)</f>
        <v>5.0747742150102901E-2</v>
      </c>
      <c r="AA31" s="17">
        <f>_xlfn.STDEV.S(T22:T31)</f>
        <v>2.8629627233960873E-2</v>
      </c>
      <c r="AB31" s="17">
        <f>Tabelle156[[#This Row],[Standardabweichung 1]]/Tabelle156[[#This Row],[Mean Visc. 1 '[mPas']]]</f>
        <v>6.0872919355205363E-2</v>
      </c>
      <c r="AC31" s="17">
        <f>Tabelle156[[#This Row],[Standardabweichung 2]]/Tabelle156[[#This Row],[Mean Visc. 2 '[mPas']2]]</f>
        <v>5.1468298326676369E-2</v>
      </c>
      <c r="AD31" s="17">
        <f>Tabelle156[[#This Row],[Standardabweichung 3]]/Tabelle156[[#This Row],[Mean Visc. 3 '[mPas']3]]</f>
        <v>1.6386942495541682E-2</v>
      </c>
      <c r="AE31" s="17"/>
      <c r="AF31" s="17">
        <f>1-Tabelle156[[#This Row],[Mean Visc. 1 '[mPas']]]/$AE22</f>
        <v>-4.3185840707964829E-2</v>
      </c>
      <c r="AG31" s="17">
        <f>1-Tabelle156[[#This Row],[Mean Visc. 2 '[mPas']2]]/$AE22</f>
        <v>0.12743362831858396</v>
      </c>
      <c r="AH31" s="17">
        <f>1-Tabelle156[[#This Row],[Mean Visc. 3 '[mPas']3]]/$AE22</f>
        <v>-0.54610619469026567</v>
      </c>
    </row>
    <row r="32" spans="1:34" ht="15" thickTop="1" x14ac:dyDescent="0.3">
      <c r="A32" t="s">
        <v>60</v>
      </c>
      <c r="B32" s="4"/>
      <c r="C32" s="5"/>
      <c r="F32" t="s">
        <v>51</v>
      </c>
      <c r="G32" s="12"/>
      <c r="H32" s="9" t="s">
        <v>12</v>
      </c>
      <c r="I32" s="7">
        <v>25.2</v>
      </c>
      <c r="J32" s="7">
        <v>10</v>
      </c>
      <c r="K32" s="7">
        <v>30.77</v>
      </c>
      <c r="L32" s="7">
        <v>384</v>
      </c>
      <c r="M32" s="7">
        <f>Tabelle156[[#This Row],[Anzahl Frames]]/Tabelle156[[#This Row],[Aufnahmezeit '[s']]]</f>
        <v>12.479688007799805</v>
      </c>
      <c r="N32" s="7">
        <f>1/Tabelle156[[#This Row],[Mean fps ]]</f>
        <v>8.0130208333333341E-2</v>
      </c>
      <c r="O32" s="7">
        <v>40</v>
      </c>
      <c r="Q32" s="11" t="s">
        <v>120</v>
      </c>
      <c r="R32" s="7">
        <v>1.4870000000000001</v>
      </c>
      <c r="S32" s="7">
        <v>1.3220000000000001</v>
      </c>
      <c r="T32" s="7">
        <v>2.25</v>
      </c>
      <c r="U32" s="7"/>
      <c r="V32" s="7"/>
      <c r="W32" s="7"/>
      <c r="X32" s="7"/>
      <c r="Y32" s="7" t="e" cm="1">
        <f t="array" ref="Y32">STABW</f>
        <v>#NAME?</v>
      </c>
      <c r="Z32" s="7"/>
      <c r="AA32" s="7"/>
      <c r="AB32" s="7" t="e">
        <f>Tabelle156[[#This Row],[Standardabweichung 1]]/Tabelle156[[#This Row],[Mean Visc. 1 '[mPas']]]</f>
        <v>#NAME?</v>
      </c>
      <c r="AC32" s="7"/>
      <c r="AD32" s="7"/>
      <c r="AE32" s="7">
        <v>1.7</v>
      </c>
      <c r="AF32" s="7">
        <f>1-Tabelle156[[#This Row],[Mean Visc. 1 '[mPas']]]/$AE$2</f>
        <v>1</v>
      </c>
      <c r="AG32" s="7"/>
      <c r="AH32" s="7"/>
    </row>
    <row r="33" spans="1:34" x14ac:dyDescent="0.3">
      <c r="A33" t="s">
        <v>61</v>
      </c>
      <c r="B33" s="4"/>
      <c r="C33" s="5"/>
      <c r="F33" t="s">
        <v>51</v>
      </c>
      <c r="G33" s="12"/>
      <c r="H33" s="9" t="s">
        <v>12</v>
      </c>
      <c r="I33" s="7">
        <v>25.2</v>
      </c>
      <c r="J33" s="7">
        <v>10</v>
      </c>
      <c r="K33" s="7">
        <v>30.18</v>
      </c>
      <c r="L33" s="7">
        <v>377</v>
      </c>
      <c r="M33" s="7">
        <f>Tabelle156[[#This Row],[Anzahl Frames]]/Tabelle156[[#This Row],[Aufnahmezeit '[s']]]</f>
        <v>12.491716368455931</v>
      </c>
      <c r="N33" s="7">
        <f>1/Tabelle156[[#This Row],[Mean fps ]]</f>
        <v>8.0053050397877981E-2</v>
      </c>
      <c r="O33" s="7">
        <v>40</v>
      </c>
      <c r="Q33" s="11" t="s">
        <v>121</v>
      </c>
      <c r="R33" s="7">
        <v>1.6459999999999999</v>
      </c>
      <c r="S33" s="7">
        <v>1.4410000000000001</v>
      </c>
      <c r="T33" s="7">
        <v>2.33</v>
      </c>
      <c r="U33" s="7"/>
      <c r="V33" s="7"/>
      <c r="W33" s="7"/>
      <c r="X33" s="7"/>
      <c r="Y33" s="7" t="e" cm="1">
        <f t="array" ref="Y33">STABW</f>
        <v>#NAME?</v>
      </c>
      <c r="Z33" s="7"/>
      <c r="AA33" s="7"/>
      <c r="AB33" s="7" t="e">
        <f>Tabelle156[[#This Row],[Standardabweichung 1]]/Tabelle156[[#This Row],[Mean Visc. 1 '[mPas']]]</f>
        <v>#NAME?</v>
      </c>
      <c r="AC33" s="7"/>
      <c r="AD33" s="7"/>
      <c r="AE33" s="7"/>
      <c r="AF33" s="7">
        <f>1-Tabelle156[[#This Row],[Mean Visc. 1 '[mPas']]]/$AE$2</f>
        <v>1</v>
      </c>
      <c r="AG33" s="7"/>
      <c r="AH33" s="7"/>
    </row>
    <row r="34" spans="1:34" x14ac:dyDescent="0.3">
      <c r="A34" t="s">
        <v>62</v>
      </c>
      <c r="B34" s="4"/>
      <c r="C34" s="5"/>
      <c r="F34" t="s">
        <v>51</v>
      </c>
      <c r="G34" s="12"/>
      <c r="H34" s="9" t="s">
        <v>12</v>
      </c>
      <c r="I34" s="7">
        <v>25.2</v>
      </c>
      <c r="J34" s="7">
        <v>10</v>
      </c>
      <c r="K34" s="7">
        <v>32.24</v>
      </c>
      <c r="L34" s="7">
        <v>403</v>
      </c>
      <c r="M34" s="7">
        <f>Tabelle156[[#This Row],[Anzahl Frames]]/Tabelle156[[#This Row],[Aufnahmezeit '[s']]]</f>
        <v>12.5</v>
      </c>
      <c r="N34" s="7">
        <f>1/Tabelle156[[#This Row],[Mean fps ]]</f>
        <v>0.08</v>
      </c>
      <c r="O34" s="7">
        <v>40</v>
      </c>
      <c r="Q34" s="11" t="s">
        <v>122</v>
      </c>
      <c r="R34" s="7">
        <v>1.661</v>
      </c>
      <c r="S34" s="7">
        <v>1.4239999999999999</v>
      </c>
      <c r="T34" s="7">
        <v>2.3580000000000001</v>
      </c>
      <c r="U34" s="7"/>
      <c r="V34" s="7"/>
      <c r="W34" s="7"/>
      <c r="X34" s="7"/>
      <c r="Y34" s="7" t="e" cm="1">
        <f t="array" ref="Y34">STABW</f>
        <v>#NAME?</v>
      </c>
      <c r="Z34" s="7"/>
      <c r="AA34" s="7"/>
      <c r="AB34" s="7" t="e">
        <f>Tabelle156[[#This Row],[Standardabweichung 1]]/Tabelle156[[#This Row],[Mean Visc. 1 '[mPas']]]</f>
        <v>#NAME?</v>
      </c>
      <c r="AC34" s="7"/>
      <c r="AD34" s="7"/>
      <c r="AE34" s="7"/>
      <c r="AF34" s="7">
        <f>1-Tabelle156[[#This Row],[Mean Visc. 1 '[mPas']]]/$AE$2</f>
        <v>1</v>
      </c>
      <c r="AG34" s="7"/>
      <c r="AH34" s="7"/>
    </row>
    <row r="35" spans="1:34" x14ac:dyDescent="0.3">
      <c r="A35" t="s">
        <v>63</v>
      </c>
      <c r="B35" s="4"/>
      <c r="C35" s="5"/>
      <c r="F35" t="s">
        <v>51</v>
      </c>
      <c r="G35" s="12"/>
      <c r="H35" s="9" t="s">
        <v>12</v>
      </c>
      <c r="I35" s="7">
        <v>25.2</v>
      </c>
      <c r="J35" s="7">
        <v>10</v>
      </c>
      <c r="K35" s="7">
        <v>30</v>
      </c>
      <c r="L35" s="7">
        <v>375</v>
      </c>
      <c r="M35" s="7">
        <f>Tabelle156[[#This Row],[Anzahl Frames]]/Tabelle156[[#This Row],[Aufnahmezeit '[s']]]</f>
        <v>12.5</v>
      </c>
      <c r="N35" s="7">
        <f>1/Tabelle156[[#This Row],[Mean fps ]]</f>
        <v>0.08</v>
      </c>
      <c r="O35" s="7">
        <v>40</v>
      </c>
      <c r="Q35" s="11" t="s">
        <v>123</v>
      </c>
      <c r="R35" s="7">
        <v>1.573</v>
      </c>
      <c r="S35" s="7">
        <v>1.2829999999999999</v>
      </c>
      <c r="T35" s="7">
        <v>2.2839999999999998</v>
      </c>
      <c r="U35" s="7"/>
      <c r="V35" s="7"/>
      <c r="W35" s="7"/>
      <c r="X35" s="7"/>
      <c r="Y35" s="7" t="e" cm="1">
        <f t="array" ref="Y35">STABW</f>
        <v>#NAME?</v>
      </c>
      <c r="Z35" s="7"/>
      <c r="AA35" s="7"/>
      <c r="AB35" s="7" t="e">
        <f>Tabelle156[[#This Row],[Standardabweichung 1]]/Tabelle156[[#This Row],[Mean Visc. 1 '[mPas']]]</f>
        <v>#NAME?</v>
      </c>
      <c r="AC35" s="7"/>
      <c r="AD35" s="7"/>
      <c r="AE35" s="7"/>
      <c r="AF35" s="7">
        <f>1-Tabelle156[[#This Row],[Mean Visc. 1 '[mPas']]]/$AE$2</f>
        <v>1</v>
      </c>
      <c r="AG35" s="7"/>
      <c r="AH35" s="7"/>
    </row>
    <row r="36" spans="1:34" x14ac:dyDescent="0.3">
      <c r="A36" t="s">
        <v>64</v>
      </c>
      <c r="B36" s="4"/>
      <c r="C36" s="5"/>
      <c r="F36" t="s">
        <v>51</v>
      </c>
      <c r="G36" s="12"/>
      <c r="H36" s="9" t="s">
        <v>12</v>
      </c>
      <c r="I36" s="7">
        <v>25.3</v>
      </c>
      <c r="J36" s="7">
        <v>10</v>
      </c>
      <c r="K36" s="7">
        <v>29.52</v>
      </c>
      <c r="L36" s="7">
        <v>370</v>
      </c>
      <c r="M36" s="7">
        <f>Tabelle156[[#This Row],[Anzahl Frames]]/Tabelle156[[#This Row],[Aufnahmezeit '[s']]]</f>
        <v>12.533875338753388</v>
      </c>
      <c r="N36" s="7">
        <f>1/Tabelle156[[#This Row],[Mean fps ]]</f>
        <v>7.9783783783783785E-2</v>
      </c>
      <c r="O36" s="7">
        <v>40</v>
      </c>
      <c r="Q36" s="11" t="s">
        <v>124</v>
      </c>
      <c r="R36" s="7">
        <v>1.3779999999999999</v>
      </c>
      <c r="S36" s="7">
        <v>1.161</v>
      </c>
      <c r="T36" s="7">
        <v>2.2320000000000002</v>
      </c>
      <c r="U36" s="7"/>
      <c r="V36" s="7"/>
      <c r="W36" s="7"/>
      <c r="X36" s="7"/>
      <c r="Y36" s="7" t="e" cm="1">
        <f t="array" ref="Y36">STABW</f>
        <v>#NAME?</v>
      </c>
      <c r="Z36" s="7"/>
      <c r="AA36" s="7"/>
      <c r="AB36" s="7" t="e">
        <f>Tabelle156[[#This Row],[Standardabweichung 1]]/Tabelle156[[#This Row],[Mean Visc. 1 '[mPas']]]</f>
        <v>#NAME?</v>
      </c>
      <c r="AC36" s="7"/>
      <c r="AD36" s="7"/>
      <c r="AE36" s="7"/>
      <c r="AF36" s="7">
        <f>1-Tabelle156[[#This Row],[Mean Visc. 1 '[mPas']]]/$AE$2</f>
        <v>1</v>
      </c>
      <c r="AG36" s="7"/>
      <c r="AH36" s="7"/>
    </row>
    <row r="37" spans="1:34" x14ac:dyDescent="0.3">
      <c r="A37" t="s">
        <v>65</v>
      </c>
      <c r="B37" s="4"/>
      <c r="C37" s="5"/>
      <c r="F37" t="s">
        <v>51</v>
      </c>
      <c r="H37" s="9" t="s">
        <v>12</v>
      </c>
      <c r="I37" s="7">
        <v>25.5</v>
      </c>
      <c r="J37" s="7">
        <v>10</v>
      </c>
      <c r="K37" s="7">
        <v>30.4</v>
      </c>
      <c r="L37" s="7">
        <v>380</v>
      </c>
      <c r="M37" s="7">
        <f>Tabelle156[[#This Row],[Anzahl Frames]]/Tabelle156[[#This Row],[Aufnahmezeit '[s']]]</f>
        <v>12.5</v>
      </c>
      <c r="N37" s="7">
        <f>1/Tabelle156[[#This Row],[Mean fps ]]</f>
        <v>0.08</v>
      </c>
      <c r="O37" s="7">
        <v>40</v>
      </c>
      <c r="Q37" s="11" t="s">
        <v>125</v>
      </c>
      <c r="R37" s="7">
        <v>1.5409999999999999</v>
      </c>
      <c r="S37" s="7">
        <v>1.329</v>
      </c>
      <c r="T37" s="7">
        <v>2.3769999999999998</v>
      </c>
      <c r="U37" s="7"/>
      <c r="V37" s="7"/>
      <c r="W37" s="7"/>
      <c r="X37" s="7"/>
      <c r="Y37" s="7" t="e" cm="1">
        <f t="array" ref="Y37">STABW</f>
        <v>#NAME?</v>
      </c>
      <c r="Z37" s="7"/>
      <c r="AA37" s="7"/>
      <c r="AB37" s="7" t="e">
        <f>Tabelle156[[#This Row],[Standardabweichung 1]]/Tabelle156[[#This Row],[Mean Visc. 1 '[mPas']]]</f>
        <v>#NAME?</v>
      </c>
      <c r="AC37" s="7"/>
      <c r="AD37" s="7"/>
      <c r="AE37" s="7"/>
      <c r="AF37" s="7">
        <f>1-Tabelle156[[#This Row],[Mean Visc. 1 '[mPas']]]/$AE$2</f>
        <v>1</v>
      </c>
      <c r="AG37" s="7"/>
      <c r="AH37" s="7"/>
    </row>
    <row r="38" spans="1:34" x14ac:dyDescent="0.3">
      <c r="A38" t="s">
        <v>66</v>
      </c>
      <c r="B38" s="4"/>
      <c r="C38" s="5"/>
      <c r="F38" t="s">
        <v>51</v>
      </c>
      <c r="H38" s="9" t="s">
        <v>12</v>
      </c>
      <c r="I38" s="7">
        <v>25.5</v>
      </c>
      <c r="J38" s="7">
        <v>10</v>
      </c>
      <c r="K38" s="7">
        <v>30.72</v>
      </c>
      <c r="L38" s="7">
        <v>384</v>
      </c>
      <c r="M38" s="7">
        <f>Tabelle156[[#This Row],[Anzahl Frames]]/Tabelle156[[#This Row],[Aufnahmezeit '[s']]]</f>
        <v>12.5</v>
      </c>
      <c r="N38" s="7">
        <f>1/Tabelle156[[#This Row],[Mean fps ]]</f>
        <v>0.08</v>
      </c>
      <c r="O38" s="7">
        <v>40</v>
      </c>
      <c r="Q38" s="11" t="s">
        <v>126</v>
      </c>
      <c r="R38" s="7">
        <v>1.577</v>
      </c>
      <c r="S38" s="7">
        <v>1.3959999999999999</v>
      </c>
      <c r="T38" s="7">
        <v>2.3220000000000001</v>
      </c>
      <c r="U38" s="7"/>
      <c r="V38" s="7"/>
      <c r="W38" s="7"/>
      <c r="X38" s="7"/>
      <c r="Y38" s="7" t="e" cm="1">
        <f t="array" ref="Y38">STABW</f>
        <v>#NAME?</v>
      </c>
      <c r="Z38" s="7"/>
      <c r="AA38" s="7"/>
      <c r="AB38" s="7" t="e">
        <f>Tabelle156[[#This Row],[Standardabweichung 1]]/Tabelle156[[#This Row],[Mean Visc. 1 '[mPas']]]</f>
        <v>#NAME?</v>
      </c>
      <c r="AC38" s="7"/>
      <c r="AD38" s="7"/>
      <c r="AE38" s="7"/>
      <c r="AF38" s="7">
        <f>1-Tabelle156[[#This Row],[Mean Visc. 1 '[mPas']]]/$AE$2</f>
        <v>1</v>
      </c>
      <c r="AG38" s="7"/>
      <c r="AH38" s="7"/>
    </row>
    <row r="39" spans="1:34" x14ac:dyDescent="0.3">
      <c r="A39" t="s">
        <v>67</v>
      </c>
      <c r="B39" s="4"/>
      <c r="C39" s="5"/>
      <c r="F39" t="s">
        <v>51</v>
      </c>
      <c r="H39" s="9" t="s">
        <v>12</v>
      </c>
      <c r="I39" s="7">
        <v>25.5</v>
      </c>
      <c r="J39" s="7">
        <v>10</v>
      </c>
      <c r="K39" s="7">
        <v>30.56</v>
      </c>
      <c r="L39" s="7">
        <v>382</v>
      </c>
      <c r="M39" s="7">
        <f>Tabelle156[[#This Row],[Anzahl Frames]]/Tabelle156[[#This Row],[Aufnahmezeit '[s']]]</f>
        <v>12.5</v>
      </c>
      <c r="N39" s="7">
        <f>1/Tabelle156[[#This Row],[Mean fps ]]</f>
        <v>0.08</v>
      </c>
      <c r="O39" s="7">
        <v>40</v>
      </c>
      <c r="Q39" s="11" t="s">
        <v>127</v>
      </c>
      <c r="R39" s="7">
        <v>1.639</v>
      </c>
      <c r="S39" s="7">
        <v>1.4530000000000001</v>
      </c>
      <c r="T39" s="7">
        <v>2.359</v>
      </c>
      <c r="U39" s="7"/>
      <c r="V39" s="7"/>
      <c r="W39" s="7"/>
      <c r="X39" s="7"/>
      <c r="Y39" s="7" t="e" cm="1">
        <f t="array" ref="Y39">STABW</f>
        <v>#NAME?</v>
      </c>
      <c r="Z39" s="7"/>
      <c r="AA39" s="7"/>
      <c r="AB39" s="7" t="e">
        <f>Tabelle156[[#This Row],[Standardabweichung 1]]/Tabelle156[[#This Row],[Mean Visc. 1 '[mPas']]]</f>
        <v>#NAME?</v>
      </c>
      <c r="AC39" s="7"/>
      <c r="AD39" s="7"/>
      <c r="AE39" s="7"/>
      <c r="AF39" s="7">
        <f>1-Tabelle156[[#This Row],[Mean Visc. 1 '[mPas']]]/$AE$2</f>
        <v>1</v>
      </c>
      <c r="AG39" s="7"/>
      <c r="AH39" s="7"/>
    </row>
    <row r="40" spans="1:34" x14ac:dyDescent="0.3">
      <c r="A40" t="s">
        <v>68</v>
      </c>
      <c r="B40" s="4"/>
      <c r="C40" s="5"/>
      <c r="F40" t="s">
        <v>51</v>
      </c>
      <c r="H40" s="9" t="s">
        <v>12</v>
      </c>
      <c r="I40" s="7">
        <v>25.5</v>
      </c>
      <c r="J40" s="7">
        <v>10</v>
      </c>
      <c r="K40" s="7">
        <v>30.48</v>
      </c>
      <c r="L40" s="7">
        <v>381</v>
      </c>
      <c r="M40" s="7">
        <f>Tabelle156[[#This Row],[Anzahl Frames]]/Tabelle156[[#This Row],[Aufnahmezeit '[s']]]</f>
        <v>12.5</v>
      </c>
      <c r="N40" s="7">
        <f>1/Tabelle156[[#This Row],[Mean fps ]]</f>
        <v>0.08</v>
      </c>
      <c r="O40" s="7">
        <v>40</v>
      </c>
      <c r="Q40" s="11" t="s">
        <v>128</v>
      </c>
      <c r="R40" s="7">
        <v>1.5649999999999999</v>
      </c>
      <c r="S40" s="7">
        <v>1.296</v>
      </c>
      <c r="T40" s="7">
        <v>2.3769999999999998</v>
      </c>
      <c r="U40" s="7"/>
      <c r="V40" s="7"/>
      <c r="W40" s="7"/>
      <c r="X40" s="7"/>
      <c r="Y40" s="7" t="e" cm="1">
        <f t="array" ref="Y40">STABW</f>
        <v>#NAME?</v>
      </c>
      <c r="Z40" s="7"/>
      <c r="AA40" s="7"/>
      <c r="AB40" s="7" t="e">
        <f>Tabelle156[[#This Row],[Standardabweichung 1]]/Tabelle156[[#This Row],[Mean Visc. 1 '[mPas']]]</f>
        <v>#NAME?</v>
      </c>
      <c r="AC40" s="7"/>
      <c r="AD40" s="7"/>
      <c r="AE40" s="7"/>
      <c r="AF40" s="7">
        <f>1-Tabelle156[[#This Row],[Mean Visc. 1 '[mPas']]]/$AE$2</f>
        <v>1</v>
      </c>
      <c r="AG40" s="7"/>
      <c r="AH40" s="7"/>
    </row>
    <row r="41" spans="1:34" s="14" customFormat="1" ht="15" thickBot="1" x14ac:dyDescent="0.35">
      <c r="A41" s="14" t="s">
        <v>69</v>
      </c>
      <c r="B41" s="15"/>
      <c r="C41" s="16"/>
      <c r="D41" s="17"/>
      <c r="F41" s="14" t="s">
        <v>51</v>
      </c>
      <c r="G41" s="21"/>
      <c r="H41" s="19" t="s">
        <v>12</v>
      </c>
      <c r="I41" s="17">
        <v>25.5</v>
      </c>
      <c r="J41" s="17">
        <v>10</v>
      </c>
      <c r="K41" s="17">
        <v>33.61</v>
      </c>
      <c r="L41" s="17">
        <v>420</v>
      </c>
      <c r="M41" s="17">
        <f>Tabelle156[[#This Row],[Anzahl Frames]]/Tabelle156[[#This Row],[Aufnahmezeit '[s']]]</f>
        <v>12.496280868789052</v>
      </c>
      <c r="N41" s="17">
        <f>1/Tabelle156[[#This Row],[Mean fps ]]</f>
        <v>8.0023809523809511E-2</v>
      </c>
      <c r="O41" s="17">
        <v>40</v>
      </c>
      <c r="P41" s="20"/>
      <c r="Q41" s="11" t="s">
        <v>129</v>
      </c>
      <c r="R41" s="17">
        <v>1.476</v>
      </c>
      <c r="S41" s="17">
        <v>1.3069999999999999</v>
      </c>
      <c r="T41" s="17">
        <v>2.278</v>
      </c>
      <c r="U41" s="17"/>
      <c r="V41" s="7">
        <f>SUM(R32:R41)/10</f>
        <v>1.5543</v>
      </c>
      <c r="W41" s="7">
        <f t="shared" ref="W41" si="5">SUM(S32:S41)/10</f>
        <v>1.3411999999999997</v>
      </c>
      <c r="X41" s="7">
        <f t="shared" ref="X41" si="6">SUM(T32:T41)/10</f>
        <v>2.3167</v>
      </c>
      <c r="Y41" s="17">
        <f>_xlfn.STDEV.S(R32:R41)</f>
        <v>8.8107320921703203E-2</v>
      </c>
      <c r="Z41" s="17">
        <f>_xlfn.STDEV.S(S32:S41)</f>
        <v>8.9385308263345675E-2</v>
      </c>
      <c r="AA41" s="17">
        <f>_xlfn.STDEV.S(T32:T41)</f>
        <v>5.2875219989035327E-2</v>
      </c>
      <c r="AB41" s="17">
        <f>Tabelle156[[#This Row],[Standardabweichung 1]]/Tabelle156[[#This Row],[Mean Visc. 1 '[mPas']]]</f>
        <v>5.668617443331609E-2</v>
      </c>
      <c r="AC41" s="17">
        <f>Tabelle156[[#This Row],[Standardabweichung 2]]/Tabelle156[[#This Row],[Mean Visc. 2 '[mPas']2]]</f>
        <v>6.664577114773762E-2</v>
      </c>
      <c r="AD41" s="17">
        <f>Tabelle156[[#This Row],[Standardabweichung 3]]/Tabelle156[[#This Row],[Mean Visc. 3 '[mPas']3]]</f>
        <v>2.2823507570697687E-2</v>
      </c>
      <c r="AE41" s="17"/>
      <c r="AF41" s="17">
        <f>1-Tabelle156[[#This Row],[Mean Visc. 1 '[mPas']]]/$AE32</f>
        <v>8.5705882352941187E-2</v>
      </c>
      <c r="AG41" s="17">
        <f>1-Tabelle156[[#This Row],[Mean Visc. 2 '[mPas']2]]/$AE32</f>
        <v>0.21105882352941185</v>
      </c>
      <c r="AH41" s="17">
        <f>1-Tabelle156[[#This Row],[Mean Visc. 3 '[mPas']3]]/$AE32</f>
        <v>-0.36276470588235288</v>
      </c>
    </row>
    <row r="42" spans="1:34" ht="15" thickTop="1" x14ac:dyDescent="0.3">
      <c r="A42" t="s">
        <v>70</v>
      </c>
      <c r="B42" s="4"/>
      <c r="C42" s="5"/>
      <c r="F42" t="s">
        <v>53</v>
      </c>
      <c r="H42" s="9" t="s">
        <v>12</v>
      </c>
      <c r="I42" s="7">
        <v>22.6</v>
      </c>
      <c r="J42" s="7">
        <v>10</v>
      </c>
      <c r="K42" s="7">
        <v>29.46</v>
      </c>
      <c r="L42" s="7">
        <v>372</v>
      </c>
      <c r="M42" s="7">
        <f>Tabelle156[[#This Row],[Anzahl Frames]]/Tabelle156[[#This Row],[Aufnahmezeit '[s']]]</f>
        <v>12.627291242362524</v>
      </c>
      <c r="N42" s="7">
        <f>1/Tabelle156[[#This Row],[Mean fps ]]</f>
        <v>7.9193548387096788E-2</v>
      </c>
      <c r="O42" s="7">
        <v>40</v>
      </c>
      <c r="Q42" s="11" t="s">
        <v>130</v>
      </c>
      <c r="R42" s="7">
        <v>3.431</v>
      </c>
      <c r="S42" s="7">
        <v>2.9039999999999999</v>
      </c>
      <c r="T42" s="7">
        <v>4.2480000000000002</v>
      </c>
      <c r="U42" s="7"/>
      <c r="V42" s="7"/>
      <c r="W42" s="7"/>
      <c r="X42" s="7"/>
      <c r="Y42" s="7" t="e" cm="1">
        <f t="array" ref="Y42">STABW</f>
        <v>#NAME?</v>
      </c>
      <c r="Z42" s="7"/>
      <c r="AA42" s="7"/>
      <c r="AB42" s="7" t="e">
        <f>Tabelle156[[#This Row],[Standardabweichung 1]]/Tabelle156[[#This Row],[Mean Visc. 1 '[mPas']]]</f>
        <v>#NAME?</v>
      </c>
      <c r="AC42" s="7"/>
      <c r="AD42" s="7"/>
      <c r="AE42" s="7">
        <v>2.9039999999999999</v>
      </c>
      <c r="AF42" s="7">
        <f>1-Tabelle156[[#This Row],[Mean Visc. 1 '[mPas']]]/$AE$2</f>
        <v>1</v>
      </c>
      <c r="AG42" s="7"/>
      <c r="AH42" s="7"/>
    </row>
    <row r="43" spans="1:34" x14ac:dyDescent="0.3">
      <c r="A43" t="s">
        <v>71</v>
      </c>
      <c r="B43" s="4"/>
      <c r="C43" s="5"/>
      <c r="F43" t="s">
        <v>53</v>
      </c>
      <c r="H43" s="9" t="s">
        <v>12</v>
      </c>
      <c r="I43" s="7">
        <v>22.5</v>
      </c>
      <c r="J43" s="7">
        <v>10</v>
      </c>
      <c r="K43" s="7">
        <v>30.08</v>
      </c>
      <c r="L43" s="7">
        <v>377</v>
      </c>
      <c r="M43" s="7">
        <f>Tabelle156[[#This Row],[Anzahl Frames]]/Tabelle156[[#This Row],[Aufnahmezeit '[s']]]</f>
        <v>12.533244680851064</v>
      </c>
      <c r="N43" s="7">
        <f>1/Tabelle156[[#This Row],[Mean fps ]]</f>
        <v>7.9787798408488056E-2</v>
      </c>
      <c r="O43" s="7">
        <v>40</v>
      </c>
      <c r="Q43" s="11" t="s">
        <v>131</v>
      </c>
      <c r="R43" s="7">
        <v>3.3050000000000002</v>
      </c>
      <c r="S43" s="7">
        <v>2.8769999999999998</v>
      </c>
      <c r="T43" s="7">
        <v>4.41</v>
      </c>
      <c r="U43" s="7"/>
      <c r="V43" s="7"/>
      <c r="W43" s="7"/>
      <c r="X43" s="7"/>
      <c r="Y43" s="7" t="e" cm="1">
        <f t="array" ref="Y43">STABW</f>
        <v>#NAME?</v>
      </c>
      <c r="Z43" s="7"/>
      <c r="AA43" s="7"/>
      <c r="AB43" s="7" t="e">
        <f>Tabelle156[[#This Row],[Standardabweichung 1]]/Tabelle156[[#This Row],[Mean Visc. 1 '[mPas']]]</f>
        <v>#NAME?</v>
      </c>
      <c r="AC43" s="7"/>
      <c r="AD43" s="7"/>
      <c r="AE43" s="7"/>
      <c r="AF43" s="7">
        <f>1-Tabelle156[[#This Row],[Mean Visc. 1 '[mPas']]]/$AE$2</f>
        <v>1</v>
      </c>
      <c r="AG43" s="7"/>
      <c r="AH43" s="7"/>
    </row>
    <row r="44" spans="1:34" x14ac:dyDescent="0.3">
      <c r="A44" t="s">
        <v>72</v>
      </c>
      <c r="B44" s="4"/>
      <c r="C44" s="5"/>
      <c r="F44" t="s">
        <v>53</v>
      </c>
      <c r="H44" s="9" t="s">
        <v>12</v>
      </c>
      <c r="I44" s="7">
        <v>22.5</v>
      </c>
      <c r="J44" s="7">
        <v>10</v>
      </c>
      <c r="K44" s="7">
        <v>31.14</v>
      </c>
      <c r="L44" s="7">
        <v>389</v>
      </c>
      <c r="M44" s="7">
        <f>Tabelle156[[#This Row],[Anzahl Frames]]/Tabelle156[[#This Row],[Aufnahmezeit '[s']]]</f>
        <v>12.491971740526653</v>
      </c>
      <c r="N44" s="7">
        <f>1/Tabelle156[[#This Row],[Mean fps ]]</f>
        <v>8.0051413881748079E-2</v>
      </c>
      <c r="O44" s="7">
        <v>40</v>
      </c>
      <c r="Q44" s="11" t="s">
        <v>132</v>
      </c>
      <c r="R44" s="7">
        <v>3.1560000000000001</v>
      </c>
      <c r="S44" s="7">
        <v>2.774</v>
      </c>
      <c r="T44" s="7">
        <v>4.7210000000000001</v>
      </c>
      <c r="U44" s="7"/>
      <c r="V44" s="7"/>
      <c r="W44" s="7"/>
      <c r="X44" s="7"/>
      <c r="Y44" s="7" t="e" cm="1">
        <f t="array" ref="Y44">STABW</f>
        <v>#NAME?</v>
      </c>
      <c r="Z44" s="7"/>
      <c r="AA44" s="7"/>
      <c r="AB44" s="7" t="e">
        <f>Tabelle156[[#This Row],[Standardabweichung 1]]/Tabelle156[[#This Row],[Mean Visc. 1 '[mPas']]]</f>
        <v>#NAME?</v>
      </c>
      <c r="AC44" s="7"/>
      <c r="AD44" s="7"/>
      <c r="AE44" s="7"/>
      <c r="AF44" s="7">
        <f>1-Tabelle156[[#This Row],[Mean Visc. 1 '[mPas']]]/$AE$2</f>
        <v>1</v>
      </c>
      <c r="AG44" s="7"/>
      <c r="AH44" s="7"/>
    </row>
    <row r="45" spans="1:34" x14ac:dyDescent="0.3">
      <c r="A45" t="s">
        <v>73</v>
      </c>
      <c r="B45" s="4"/>
      <c r="C45" s="5"/>
      <c r="F45" t="s">
        <v>53</v>
      </c>
      <c r="H45" s="9" t="s">
        <v>12</v>
      </c>
      <c r="I45" s="7">
        <v>22.5</v>
      </c>
      <c r="J45" s="7">
        <v>10</v>
      </c>
      <c r="K45" s="7">
        <v>30.4</v>
      </c>
      <c r="L45" s="7">
        <v>380</v>
      </c>
      <c r="M45" s="7">
        <f>Tabelle156[[#This Row],[Anzahl Frames]]/Tabelle156[[#This Row],[Aufnahmezeit '[s']]]</f>
        <v>12.5</v>
      </c>
      <c r="N45" s="7">
        <f>1/Tabelle156[[#This Row],[Mean fps ]]</f>
        <v>0.08</v>
      </c>
      <c r="O45" s="7">
        <v>40</v>
      </c>
      <c r="Q45" s="11" t="s">
        <v>133</v>
      </c>
      <c r="R45" s="7">
        <v>3.2989999999999999</v>
      </c>
      <c r="S45" s="7">
        <v>3.036</v>
      </c>
      <c r="T45" s="7">
        <v>4.726</v>
      </c>
      <c r="U45" s="7"/>
      <c r="V45" s="7"/>
      <c r="W45" s="7"/>
      <c r="X45" s="7"/>
      <c r="Y45" s="7" t="e" cm="1">
        <f t="array" ref="Y45">STABW</f>
        <v>#NAME?</v>
      </c>
      <c r="Z45" s="7"/>
      <c r="AA45" s="7"/>
      <c r="AB45" s="7" t="e">
        <f>Tabelle156[[#This Row],[Standardabweichung 1]]/Tabelle156[[#This Row],[Mean Visc. 1 '[mPas']]]</f>
        <v>#NAME?</v>
      </c>
      <c r="AC45" s="7"/>
      <c r="AD45" s="7"/>
      <c r="AE45" s="7"/>
      <c r="AF45" s="7">
        <f>1-Tabelle156[[#This Row],[Mean Visc. 1 '[mPas']]]/$AE$2</f>
        <v>1</v>
      </c>
      <c r="AG45" s="7"/>
      <c r="AH45" s="7"/>
    </row>
    <row r="46" spans="1:34" x14ac:dyDescent="0.3">
      <c r="A46" t="s">
        <v>74</v>
      </c>
      <c r="B46" s="4"/>
      <c r="C46" s="5"/>
      <c r="F46" t="s">
        <v>53</v>
      </c>
      <c r="H46" s="9" t="s">
        <v>12</v>
      </c>
      <c r="I46" s="7">
        <v>22.5</v>
      </c>
      <c r="J46" s="7">
        <v>10</v>
      </c>
      <c r="K46" s="7">
        <v>31.12</v>
      </c>
      <c r="L46" s="7">
        <v>389</v>
      </c>
      <c r="M46" s="7">
        <f>Tabelle156[[#This Row],[Anzahl Frames]]/Tabelle156[[#This Row],[Aufnahmezeit '[s']]]</f>
        <v>12.5</v>
      </c>
      <c r="N46" s="7">
        <f>1/Tabelle156[[#This Row],[Mean fps ]]</f>
        <v>0.08</v>
      </c>
      <c r="O46" s="7">
        <v>40</v>
      </c>
      <c r="Q46" s="11" t="s">
        <v>134</v>
      </c>
      <c r="R46" s="7">
        <v>3.2829999999999999</v>
      </c>
      <c r="S46" s="7">
        <v>2.883</v>
      </c>
      <c r="T46" s="7">
        <v>4.3959999999999999</v>
      </c>
      <c r="U46" s="7"/>
      <c r="V46" s="7"/>
      <c r="W46" s="7"/>
      <c r="X46" s="7"/>
      <c r="Y46" s="7" t="e" cm="1">
        <f t="array" ref="Y46">STABW</f>
        <v>#NAME?</v>
      </c>
      <c r="Z46" s="7"/>
      <c r="AA46" s="7"/>
      <c r="AB46" s="7" t="e">
        <f>Tabelle156[[#This Row],[Standardabweichung 1]]/Tabelle156[[#This Row],[Mean Visc. 1 '[mPas']]]</f>
        <v>#NAME?</v>
      </c>
      <c r="AC46" s="7"/>
      <c r="AD46" s="7"/>
      <c r="AE46" s="7"/>
      <c r="AF46" s="7">
        <f>1-Tabelle156[[#This Row],[Mean Visc. 1 '[mPas']]]/$AE$2</f>
        <v>1</v>
      </c>
      <c r="AG46" s="7"/>
      <c r="AH46" s="7"/>
    </row>
    <row r="47" spans="1:34" x14ac:dyDescent="0.3">
      <c r="A47" t="s">
        <v>75</v>
      </c>
      <c r="B47" s="4"/>
      <c r="C47" s="5"/>
      <c r="F47" t="s">
        <v>53</v>
      </c>
      <c r="H47" s="9" t="s">
        <v>12</v>
      </c>
      <c r="I47" s="7">
        <v>22.5</v>
      </c>
      <c r="J47" s="7">
        <v>10</v>
      </c>
      <c r="K47" s="7">
        <v>30.48</v>
      </c>
      <c r="L47" s="7">
        <v>381</v>
      </c>
      <c r="M47" s="7">
        <f>Tabelle156[[#This Row],[Anzahl Frames]]/Tabelle156[[#This Row],[Aufnahmezeit '[s']]]</f>
        <v>12.5</v>
      </c>
      <c r="N47" s="7">
        <f>1/Tabelle156[[#This Row],[Mean fps ]]</f>
        <v>0.08</v>
      </c>
      <c r="O47" s="7">
        <v>40</v>
      </c>
      <c r="Q47" s="11" t="s">
        <v>135</v>
      </c>
      <c r="R47" s="7">
        <v>3.331</v>
      </c>
      <c r="S47" s="7">
        <v>2.879</v>
      </c>
      <c r="T47" s="7">
        <v>4.4619999999999997</v>
      </c>
      <c r="U47" s="7"/>
      <c r="V47" s="7"/>
      <c r="W47" s="7"/>
      <c r="X47" s="7"/>
      <c r="Y47" s="7" t="e" cm="1">
        <f t="array" ref="Y47">STABW</f>
        <v>#NAME?</v>
      </c>
      <c r="Z47" s="7"/>
      <c r="AA47" s="7"/>
      <c r="AB47" s="7" t="e">
        <f>Tabelle156[[#This Row],[Standardabweichung 1]]/Tabelle156[[#This Row],[Mean Visc. 1 '[mPas']]]</f>
        <v>#NAME?</v>
      </c>
      <c r="AC47" s="7"/>
      <c r="AD47" s="7"/>
      <c r="AE47" s="7"/>
      <c r="AF47" s="7">
        <f>1-Tabelle156[[#This Row],[Mean Visc. 1 '[mPas']]]/$AE$2</f>
        <v>1</v>
      </c>
      <c r="AG47" s="7"/>
      <c r="AH47" s="7"/>
    </row>
    <row r="48" spans="1:34" x14ac:dyDescent="0.3">
      <c r="A48" t="s">
        <v>76</v>
      </c>
      <c r="B48" s="4"/>
      <c r="C48" s="5"/>
      <c r="F48" t="s">
        <v>53</v>
      </c>
      <c r="H48" s="9" t="s">
        <v>12</v>
      </c>
      <c r="I48" s="7">
        <v>22.6</v>
      </c>
      <c r="J48" s="7">
        <v>10</v>
      </c>
      <c r="K48" s="7">
        <v>30.34</v>
      </c>
      <c r="L48" s="7">
        <v>379</v>
      </c>
      <c r="M48" s="7">
        <f>Tabelle156[[#This Row],[Anzahl Frames]]/Tabelle156[[#This Row],[Aufnahmezeit '[s']]]</f>
        <v>12.491760052735662</v>
      </c>
      <c r="N48" s="7">
        <f>1/Tabelle156[[#This Row],[Mean fps ]]</f>
        <v>8.0052770448548818E-2</v>
      </c>
      <c r="O48" s="7">
        <v>40</v>
      </c>
      <c r="Q48" s="11" t="s">
        <v>136</v>
      </c>
      <c r="R48" s="7">
        <v>3.2189999999999999</v>
      </c>
      <c r="S48" s="7">
        <v>2.7320000000000002</v>
      </c>
      <c r="T48" s="7">
        <v>4.2320000000000002</v>
      </c>
      <c r="U48" s="7"/>
      <c r="V48" s="7"/>
      <c r="W48" s="7"/>
      <c r="X48" s="7"/>
      <c r="Y48" s="7" t="e" cm="1">
        <f t="array" ref="Y48">STABW</f>
        <v>#NAME?</v>
      </c>
      <c r="Z48" s="7"/>
      <c r="AA48" s="7"/>
      <c r="AB48" s="7" t="e">
        <f>Tabelle156[[#This Row],[Standardabweichung 1]]/Tabelle156[[#This Row],[Mean Visc. 1 '[mPas']]]</f>
        <v>#NAME?</v>
      </c>
      <c r="AC48" s="7"/>
      <c r="AD48" s="7"/>
      <c r="AE48" s="7"/>
      <c r="AF48" s="7">
        <f>1-Tabelle156[[#This Row],[Mean Visc. 1 '[mPas']]]/$AE$2</f>
        <v>1</v>
      </c>
      <c r="AG48" s="7"/>
      <c r="AH48" s="7"/>
    </row>
    <row r="49" spans="1:34" x14ac:dyDescent="0.3">
      <c r="A49" t="s">
        <v>77</v>
      </c>
      <c r="B49" s="4"/>
      <c r="C49" s="5"/>
      <c r="F49" t="s">
        <v>53</v>
      </c>
      <c r="H49" s="9" t="s">
        <v>12</v>
      </c>
      <c r="I49" s="7">
        <v>22.7</v>
      </c>
      <c r="J49" s="7">
        <v>10</v>
      </c>
      <c r="K49" s="7">
        <v>32.479999999999997</v>
      </c>
      <c r="L49" s="7">
        <v>406</v>
      </c>
      <c r="M49" s="7">
        <f>Tabelle156[[#This Row],[Anzahl Frames]]/Tabelle156[[#This Row],[Aufnahmezeit '[s']]]</f>
        <v>12.500000000000002</v>
      </c>
      <c r="N49" s="7">
        <f>1/Tabelle156[[#This Row],[Mean fps ]]</f>
        <v>7.9999999999999988E-2</v>
      </c>
      <c r="O49" s="7">
        <v>40</v>
      </c>
      <c r="Q49" s="11" t="s">
        <v>137</v>
      </c>
      <c r="R49" s="7">
        <v>3.5470000000000002</v>
      </c>
      <c r="S49" s="7">
        <v>3.081</v>
      </c>
      <c r="T49" s="7">
        <v>4.5119999999999996</v>
      </c>
      <c r="U49" s="7"/>
      <c r="V49" s="7"/>
      <c r="W49" s="7"/>
      <c r="X49" s="7"/>
      <c r="Y49" s="7" t="e" cm="1">
        <f t="array" ref="Y49">STABW</f>
        <v>#NAME?</v>
      </c>
      <c r="Z49" s="7"/>
      <c r="AA49" s="7"/>
      <c r="AB49" s="7" t="e">
        <f>Tabelle156[[#This Row],[Standardabweichung 1]]/Tabelle156[[#This Row],[Mean Visc. 1 '[mPas']]]</f>
        <v>#NAME?</v>
      </c>
      <c r="AC49" s="7"/>
      <c r="AD49" s="7"/>
      <c r="AE49" s="7"/>
      <c r="AF49" s="7">
        <f>1-Tabelle156[[#This Row],[Mean Visc. 1 '[mPas']]]/$AE$2</f>
        <v>1</v>
      </c>
      <c r="AG49" s="7"/>
      <c r="AH49" s="7"/>
    </row>
    <row r="50" spans="1:34" x14ac:dyDescent="0.3">
      <c r="A50" t="s">
        <v>78</v>
      </c>
      <c r="B50" s="4"/>
      <c r="C50" s="5"/>
      <c r="F50" t="s">
        <v>53</v>
      </c>
      <c r="H50" s="9" t="s">
        <v>12</v>
      </c>
      <c r="I50" s="7">
        <v>22.8</v>
      </c>
      <c r="J50" s="7">
        <v>10</v>
      </c>
      <c r="K50" s="7">
        <v>30.88</v>
      </c>
      <c r="L50" s="7">
        <v>386</v>
      </c>
      <c r="M50" s="7">
        <f>Tabelle156[[#This Row],[Anzahl Frames]]/Tabelle156[[#This Row],[Aufnahmezeit '[s']]]</f>
        <v>12.5</v>
      </c>
      <c r="N50" s="7">
        <f>1/Tabelle156[[#This Row],[Mean fps ]]</f>
        <v>0.08</v>
      </c>
      <c r="O50" s="7">
        <v>40</v>
      </c>
      <c r="Q50" s="11" t="s">
        <v>138</v>
      </c>
      <c r="R50" s="7">
        <v>3.3330000000000002</v>
      </c>
      <c r="S50" s="7">
        <v>3.0649999999999999</v>
      </c>
      <c r="T50" s="7">
        <v>4.59</v>
      </c>
      <c r="U50" s="7"/>
      <c r="V50" s="7"/>
      <c r="W50" s="7"/>
      <c r="X50" s="7"/>
      <c r="Y50" s="7" t="e" cm="1">
        <f t="array" ref="Y50">STABW</f>
        <v>#NAME?</v>
      </c>
      <c r="Z50" s="7"/>
      <c r="AA50" s="7"/>
      <c r="AB50" s="7" t="e">
        <f>Tabelle156[[#This Row],[Standardabweichung 1]]/Tabelle156[[#This Row],[Mean Visc. 1 '[mPas']]]</f>
        <v>#NAME?</v>
      </c>
      <c r="AC50" s="7"/>
      <c r="AD50" s="7"/>
      <c r="AE50" s="7"/>
      <c r="AF50" s="7">
        <f>1-Tabelle156[[#This Row],[Mean Visc. 1 '[mPas']]]/$AE$2</f>
        <v>1</v>
      </c>
      <c r="AG50" s="7"/>
      <c r="AH50" s="7"/>
    </row>
    <row r="51" spans="1:34" s="14" customFormat="1" ht="15" thickBot="1" x14ac:dyDescent="0.35">
      <c r="A51" s="14" t="s">
        <v>79</v>
      </c>
      <c r="B51" s="15"/>
      <c r="C51" s="16"/>
      <c r="D51" s="17"/>
      <c r="F51" s="14" t="s">
        <v>53</v>
      </c>
      <c r="G51" s="21"/>
      <c r="H51" s="19" t="s">
        <v>12</v>
      </c>
      <c r="I51" s="17">
        <v>22.8</v>
      </c>
      <c r="J51" s="17">
        <v>10</v>
      </c>
      <c r="K51" s="17">
        <v>30.64</v>
      </c>
      <c r="L51" s="17">
        <v>383</v>
      </c>
      <c r="M51" s="17">
        <f>Tabelle156[[#This Row],[Anzahl Frames]]/Tabelle156[[#This Row],[Aufnahmezeit '[s']]]</f>
        <v>12.5</v>
      </c>
      <c r="N51" s="17">
        <f>1/Tabelle156[[#This Row],[Mean fps ]]</f>
        <v>0.08</v>
      </c>
      <c r="O51" s="17">
        <v>40</v>
      </c>
      <c r="P51" s="20"/>
      <c r="Q51" s="11" t="s">
        <v>139</v>
      </c>
      <c r="R51" s="17">
        <v>3.4889999999999999</v>
      </c>
      <c r="S51" s="17">
        <v>2.9929999999999999</v>
      </c>
      <c r="T51" s="17">
        <v>4.9119999999999999</v>
      </c>
      <c r="U51" s="17"/>
      <c r="V51" s="7">
        <f>SUM(R42:R51)/10</f>
        <v>3.3393000000000002</v>
      </c>
      <c r="W51" s="7">
        <f t="shared" ref="W51" si="7">SUM(S42:S51)/10</f>
        <v>2.9224000000000001</v>
      </c>
      <c r="X51" s="7">
        <f t="shared" ref="X51" si="8">SUM(T42:T51)/10</f>
        <v>4.5208999999999993</v>
      </c>
      <c r="Y51" s="17">
        <f>_xlfn.STDEV.S(R42:R51)</f>
        <v>0.11930730628646903</v>
      </c>
      <c r="Z51" s="17">
        <f>_xlfn.STDEV.S(S42:S51)</f>
        <v>0.11901839260289884</v>
      </c>
      <c r="AA51" s="17">
        <f>_xlfn.STDEV.S(T42:T51)</f>
        <v>0.21838419254963376</v>
      </c>
      <c r="AB51" s="17">
        <f>Tabelle156[[#This Row],[Standardabweichung 1]]/Tabelle156[[#This Row],[Mean Visc. 1 '[mPas']]]</f>
        <v>3.5728238339313337E-2</v>
      </c>
      <c r="AC51" s="17">
        <f>Tabelle156[[#This Row],[Standardabweichung 2]]/Tabelle156[[#This Row],[Mean Visc. 2 '[mPas']2]]</f>
        <v>4.0726249864118137E-2</v>
      </c>
      <c r="AD51" s="17">
        <f>Tabelle156[[#This Row],[Standardabweichung 3]]/Tabelle156[[#This Row],[Mean Visc. 3 '[mPas']3]]</f>
        <v>4.8305468501765973E-2</v>
      </c>
      <c r="AE51" s="17"/>
      <c r="AF51" s="17">
        <f>1-Tabelle156[[#This Row],[Mean Visc. 1 '[mPas']]]/$AE42</f>
        <v>-0.14989669421487606</v>
      </c>
      <c r="AG51" s="17">
        <f>1-Tabelle156[[#This Row],[Mean Visc. 2 '[mPas']2]]/$AE42</f>
        <v>-6.3360881542700032E-3</v>
      </c>
      <c r="AH51" s="17">
        <f>1-Tabelle156[[#This Row],[Mean Visc. 3 '[mPas']3]]/$AE42</f>
        <v>-0.55678374655647356</v>
      </c>
    </row>
    <row r="52" spans="1:34" ht="15" thickTop="1" x14ac:dyDescent="0.3">
      <c r="A52" t="s">
        <v>80</v>
      </c>
      <c r="B52" s="4"/>
      <c r="C52" s="5"/>
      <c r="F52" t="s">
        <v>54</v>
      </c>
      <c r="H52" s="9" t="s">
        <v>12</v>
      </c>
      <c r="I52" s="7">
        <v>23</v>
      </c>
      <c r="J52" s="7">
        <v>10</v>
      </c>
      <c r="K52" s="7">
        <v>31.43</v>
      </c>
      <c r="L52" s="7">
        <v>393</v>
      </c>
      <c r="M52" s="7">
        <f>Tabelle156[[#This Row],[Anzahl Frames]]/Tabelle156[[#This Row],[Aufnahmezeit '[s']]]</f>
        <v>12.503977091950366</v>
      </c>
      <c r="N52" s="7">
        <f>1/Tabelle156[[#This Row],[Mean fps ]]</f>
        <v>7.9974554707379131E-2</v>
      </c>
      <c r="O52" s="7">
        <v>40</v>
      </c>
      <c r="Q52" s="11" t="s">
        <v>150</v>
      </c>
      <c r="R52" s="7">
        <v>6.117</v>
      </c>
      <c r="S52" s="7">
        <v>5.7910000000000004</v>
      </c>
      <c r="T52" s="7">
        <v>7.5030000000000001</v>
      </c>
      <c r="U52" s="7"/>
      <c r="V52" s="7"/>
      <c r="W52" s="7"/>
      <c r="X52" s="7"/>
      <c r="Y52" s="7" t="e" cm="1">
        <f t="array" ref="Y52">STABW</f>
        <v>#NAME?</v>
      </c>
      <c r="Z52" s="7"/>
      <c r="AA52" s="7"/>
      <c r="AB52" s="7" t="e">
        <f>Tabelle156[[#This Row],[Standardabweichung 1]]/Tabelle156[[#This Row],[Mean Visc. 1 '[mPas']]]</f>
        <v>#NAME?</v>
      </c>
      <c r="AC52" s="7"/>
      <c r="AD52" s="7"/>
      <c r="AE52" s="7">
        <v>5.5359999999999996</v>
      </c>
      <c r="AF52" s="7">
        <f>1-Tabelle156[[#This Row],[Mean Visc. 1 '[mPas']]]/$AE$2</f>
        <v>1</v>
      </c>
      <c r="AG52" s="7"/>
      <c r="AH52" s="7"/>
    </row>
    <row r="53" spans="1:34" x14ac:dyDescent="0.3">
      <c r="A53" t="s">
        <v>81</v>
      </c>
      <c r="B53" s="4"/>
      <c r="C53" s="5"/>
      <c r="F53" t="s">
        <v>54</v>
      </c>
      <c r="H53" s="9" t="s">
        <v>12</v>
      </c>
      <c r="I53" s="7">
        <v>23.1</v>
      </c>
      <c r="J53" s="7">
        <v>10</v>
      </c>
      <c r="K53" s="7">
        <v>31.35</v>
      </c>
      <c r="L53" s="7">
        <v>392</v>
      </c>
      <c r="M53" s="7">
        <f>Tabelle156[[#This Row],[Anzahl Frames]]/Tabelle156[[#This Row],[Aufnahmezeit '[s']]]</f>
        <v>12.503987240829346</v>
      </c>
      <c r="N53" s="7">
        <f>1/Tabelle156[[#This Row],[Mean fps ]]</f>
        <v>7.9974489795918369E-2</v>
      </c>
      <c r="O53" s="7">
        <v>40</v>
      </c>
      <c r="Q53" s="11" t="s">
        <v>151</v>
      </c>
      <c r="R53" s="7">
        <v>6.4160000000000004</v>
      </c>
      <c r="S53" s="7">
        <v>5.4989999999999997</v>
      </c>
      <c r="T53" s="7">
        <v>7.1470000000000002</v>
      </c>
      <c r="U53" s="7"/>
      <c r="V53" s="7"/>
      <c r="W53" s="7"/>
      <c r="X53" s="7"/>
      <c r="Y53" s="7" t="e" cm="1">
        <f t="array" ref="Y53">STABW</f>
        <v>#NAME?</v>
      </c>
      <c r="Z53" s="7"/>
      <c r="AA53" s="7"/>
      <c r="AB53" s="7" t="e">
        <f>Tabelle156[[#This Row],[Standardabweichung 1]]/Tabelle156[[#This Row],[Mean Visc. 1 '[mPas']]]</f>
        <v>#NAME?</v>
      </c>
      <c r="AC53" s="7"/>
      <c r="AD53" s="7"/>
      <c r="AE53" s="7"/>
      <c r="AF53" s="7">
        <f>1-Tabelle156[[#This Row],[Mean Visc. 1 '[mPas']]]/$AE$2</f>
        <v>1</v>
      </c>
      <c r="AG53" s="7"/>
      <c r="AH53" s="7"/>
    </row>
    <row r="54" spans="1:34" x14ac:dyDescent="0.3">
      <c r="A54" t="s">
        <v>82</v>
      </c>
      <c r="B54" s="4"/>
      <c r="C54" s="5"/>
      <c r="F54" t="s">
        <v>54</v>
      </c>
      <c r="H54" s="9" t="s">
        <v>12</v>
      </c>
      <c r="I54" s="7">
        <v>23.2</v>
      </c>
      <c r="J54" s="7">
        <v>10</v>
      </c>
      <c r="K54" s="7">
        <v>30.72</v>
      </c>
      <c r="L54" s="7">
        <v>384</v>
      </c>
      <c r="M54" s="7">
        <f>Tabelle156[[#This Row],[Anzahl Frames]]/Tabelle156[[#This Row],[Aufnahmezeit '[s']]]</f>
        <v>12.5</v>
      </c>
      <c r="N54" s="7">
        <f>1/Tabelle156[[#This Row],[Mean fps ]]</f>
        <v>0.08</v>
      </c>
      <c r="O54" s="7">
        <v>40</v>
      </c>
      <c r="Q54" s="11" t="s">
        <v>152</v>
      </c>
      <c r="R54" s="7">
        <v>6.1779999999999999</v>
      </c>
      <c r="S54" s="7">
        <v>5.7480000000000002</v>
      </c>
      <c r="T54" s="7">
        <v>7.4950000000000001</v>
      </c>
      <c r="U54" s="7"/>
      <c r="V54" s="7"/>
      <c r="W54" s="7"/>
      <c r="X54" s="7"/>
      <c r="Y54" s="7" t="e" cm="1">
        <f t="array" ref="Y54">STABW</f>
        <v>#NAME?</v>
      </c>
      <c r="Z54" s="7"/>
      <c r="AA54" s="7"/>
      <c r="AB54" s="7" t="e">
        <f>Tabelle156[[#This Row],[Standardabweichung 1]]/Tabelle156[[#This Row],[Mean Visc. 1 '[mPas']]]</f>
        <v>#NAME?</v>
      </c>
      <c r="AC54" s="7"/>
      <c r="AD54" s="7"/>
      <c r="AE54" s="7"/>
      <c r="AF54" s="7">
        <f>1-Tabelle156[[#This Row],[Mean Visc. 1 '[mPas']]]/$AE$2</f>
        <v>1</v>
      </c>
      <c r="AG54" s="7"/>
      <c r="AH54" s="7"/>
    </row>
    <row r="55" spans="1:34" x14ac:dyDescent="0.3">
      <c r="A55" t="s">
        <v>83</v>
      </c>
      <c r="B55" s="4"/>
      <c r="C55" s="5"/>
      <c r="F55" t="s">
        <v>54</v>
      </c>
      <c r="H55" s="9" t="s">
        <v>12</v>
      </c>
      <c r="I55" s="7">
        <v>23.2</v>
      </c>
      <c r="J55" s="7">
        <v>10</v>
      </c>
      <c r="K55" s="7">
        <v>30.4</v>
      </c>
      <c r="L55" s="7">
        <v>380</v>
      </c>
      <c r="M55" s="7">
        <f>Tabelle156[[#This Row],[Anzahl Frames]]/Tabelle156[[#This Row],[Aufnahmezeit '[s']]]</f>
        <v>12.5</v>
      </c>
      <c r="N55" s="7">
        <f>1/Tabelle156[[#This Row],[Mean fps ]]</f>
        <v>0.08</v>
      </c>
      <c r="O55" s="7">
        <v>40</v>
      </c>
      <c r="Q55" s="11" t="s">
        <v>153</v>
      </c>
      <c r="R55" s="7">
        <v>6.6619999999999999</v>
      </c>
      <c r="S55" s="7">
        <v>5.7919999999999998</v>
      </c>
      <c r="T55" s="7">
        <v>7.6340000000000003</v>
      </c>
      <c r="U55" s="7"/>
      <c r="V55" s="7"/>
      <c r="W55" s="7"/>
      <c r="X55" s="7"/>
      <c r="Y55" s="7" t="e" cm="1">
        <f t="array" ref="Y55">STABW</f>
        <v>#NAME?</v>
      </c>
      <c r="Z55" s="7"/>
      <c r="AA55" s="7"/>
      <c r="AB55" s="7" t="e">
        <f>Tabelle156[[#This Row],[Standardabweichung 1]]/Tabelle156[[#This Row],[Mean Visc. 1 '[mPas']]]</f>
        <v>#NAME?</v>
      </c>
      <c r="AC55" s="7"/>
      <c r="AD55" s="7"/>
      <c r="AE55" s="7"/>
      <c r="AF55" s="7">
        <f>1-Tabelle156[[#This Row],[Mean Visc. 1 '[mPas']]]/$AE$2</f>
        <v>1</v>
      </c>
      <c r="AG55" s="7"/>
      <c r="AH55" s="7"/>
    </row>
    <row r="56" spans="1:34" x14ac:dyDescent="0.3">
      <c r="A56" t="s">
        <v>84</v>
      </c>
      <c r="B56" s="4"/>
      <c r="C56" s="5"/>
      <c r="F56" t="s">
        <v>54</v>
      </c>
      <c r="H56" s="9" t="s">
        <v>12</v>
      </c>
      <c r="I56" s="7">
        <v>23.4</v>
      </c>
      <c r="J56" s="7">
        <v>10</v>
      </c>
      <c r="K56" s="7">
        <v>30.8</v>
      </c>
      <c r="L56" s="7">
        <v>385</v>
      </c>
      <c r="M56" s="7">
        <f>Tabelle156[[#This Row],[Anzahl Frames]]/Tabelle156[[#This Row],[Aufnahmezeit '[s']]]</f>
        <v>12.5</v>
      </c>
      <c r="N56" s="7">
        <f>1/Tabelle156[[#This Row],[Mean fps ]]</f>
        <v>0.08</v>
      </c>
      <c r="O56" s="7">
        <v>40</v>
      </c>
      <c r="Q56" s="11" t="s">
        <v>154</v>
      </c>
      <c r="R56" s="7">
        <v>6.5190000000000001</v>
      </c>
      <c r="S56" s="7">
        <v>6.0110000000000001</v>
      </c>
      <c r="T56" s="7">
        <v>7.7640000000000002</v>
      </c>
      <c r="U56" s="7"/>
      <c r="V56" s="7"/>
      <c r="W56" s="7"/>
      <c r="X56" s="7"/>
      <c r="Y56" s="7" t="e" cm="1">
        <f t="array" ref="Y56">STABW</f>
        <v>#NAME?</v>
      </c>
      <c r="Z56" s="7"/>
      <c r="AA56" s="7"/>
      <c r="AB56" s="7" t="e">
        <f>Tabelle156[[#This Row],[Standardabweichung 1]]/Tabelle156[[#This Row],[Mean Visc. 1 '[mPas']]]</f>
        <v>#NAME?</v>
      </c>
      <c r="AC56" s="7"/>
      <c r="AD56" s="7"/>
      <c r="AE56" s="7"/>
      <c r="AF56" s="7">
        <f>1-Tabelle156[[#This Row],[Mean Visc. 1 '[mPas']]]/$AE$2</f>
        <v>1</v>
      </c>
      <c r="AG56" s="7"/>
      <c r="AH56" s="7"/>
    </row>
    <row r="57" spans="1:34" x14ac:dyDescent="0.3">
      <c r="A57" t="s">
        <v>85</v>
      </c>
      <c r="B57" s="4"/>
      <c r="C57" s="5"/>
      <c r="F57" t="s">
        <v>54</v>
      </c>
      <c r="H57" s="9" t="s">
        <v>12</v>
      </c>
      <c r="I57" s="7">
        <v>23.5</v>
      </c>
      <c r="J57" s="7">
        <v>10</v>
      </c>
      <c r="K57" s="7">
        <v>31.04</v>
      </c>
      <c r="L57" s="7">
        <v>388</v>
      </c>
      <c r="M57" s="7">
        <f>Tabelle156[[#This Row],[Anzahl Frames]]/Tabelle156[[#This Row],[Aufnahmezeit '[s']]]</f>
        <v>12.5</v>
      </c>
      <c r="N57" s="7">
        <f>1/Tabelle156[[#This Row],[Mean fps ]]</f>
        <v>0.08</v>
      </c>
      <c r="O57" s="7">
        <v>40</v>
      </c>
      <c r="Q57" s="11" t="s">
        <v>155</v>
      </c>
      <c r="R57" s="7">
        <v>5.867</v>
      </c>
      <c r="S57" s="7">
        <v>5.6790000000000003</v>
      </c>
      <c r="T57" s="7">
        <v>7.3959999999999999</v>
      </c>
      <c r="U57" s="7"/>
      <c r="V57" s="7"/>
      <c r="W57" s="7"/>
      <c r="X57" s="7"/>
      <c r="Y57" s="7" t="e" cm="1">
        <f t="array" ref="Y57">STABW</f>
        <v>#NAME?</v>
      </c>
      <c r="Z57" s="7"/>
      <c r="AA57" s="7"/>
      <c r="AB57" s="7" t="e">
        <f>Tabelle156[[#This Row],[Standardabweichung 1]]/Tabelle156[[#This Row],[Mean Visc. 1 '[mPas']]]</f>
        <v>#NAME?</v>
      </c>
      <c r="AC57" s="7"/>
      <c r="AD57" s="7"/>
      <c r="AE57" s="7"/>
      <c r="AF57" s="7">
        <f>1-Tabelle156[[#This Row],[Mean Visc. 1 '[mPas']]]/$AE$2</f>
        <v>1</v>
      </c>
      <c r="AG57" s="7"/>
      <c r="AH57" s="7"/>
    </row>
    <row r="58" spans="1:34" x14ac:dyDescent="0.3">
      <c r="A58" t="s">
        <v>86</v>
      </c>
      <c r="B58" s="4"/>
      <c r="C58" s="5"/>
      <c r="F58" t="s">
        <v>54</v>
      </c>
      <c r="H58" s="9" t="s">
        <v>12</v>
      </c>
      <c r="I58" s="7">
        <v>23.6</v>
      </c>
      <c r="J58" s="7">
        <v>10</v>
      </c>
      <c r="K58" s="7">
        <v>30.8</v>
      </c>
      <c r="L58" s="7">
        <v>385</v>
      </c>
      <c r="M58" s="7">
        <f>Tabelle156[[#This Row],[Anzahl Frames]]/Tabelle156[[#This Row],[Aufnahmezeit '[s']]]</f>
        <v>12.5</v>
      </c>
      <c r="N58" s="7">
        <f>1/Tabelle156[[#This Row],[Mean fps ]]</f>
        <v>0.08</v>
      </c>
      <c r="O58" s="7">
        <v>40</v>
      </c>
      <c r="Q58" s="11" t="s">
        <v>156</v>
      </c>
      <c r="R58" s="7">
        <v>5.9539999999999997</v>
      </c>
      <c r="S58" s="7">
        <v>5.41</v>
      </c>
      <c r="T58" s="7">
        <v>7.4950000000000001</v>
      </c>
      <c r="U58" s="7"/>
      <c r="V58" s="7"/>
      <c r="W58" s="7"/>
      <c r="X58" s="7"/>
      <c r="Y58" s="7" t="e" cm="1">
        <f t="array" ref="Y58">STABW</f>
        <v>#NAME?</v>
      </c>
      <c r="Z58" s="7"/>
      <c r="AA58" s="7"/>
      <c r="AB58" s="7" t="e">
        <f>Tabelle156[[#This Row],[Standardabweichung 1]]/Tabelle156[[#This Row],[Mean Visc. 1 '[mPas']]]</f>
        <v>#NAME?</v>
      </c>
      <c r="AC58" s="7"/>
      <c r="AD58" s="7"/>
      <c r="AE58" s="7"/>
      <c r="AF58" s="7">
        <f>1-Tabelle156[[#This Row],[Mean Visc. 1 '[mPas']]]/$AE$2</f>
        <v>1</v>
      </c>
      <c r="AG58" s="7"/>
      <c r="AH58" s="7"/>
    </row>
    <row r="59" spans="1:34" x14ac:dyDescent="0.3">
      <c r="A59" t="s">
        <v>87</v>
      </c>
      <c r="B59" s="4"/>
      <c r="C59" s="5"/>
      <c r="F59" t="s">
        <v>54</v>
      </c>
      <c r="H59" s="9" t="s">
        <v>12</v>
      </c>
      <c r="I59" s="7">
        <v>23.7</v>
      </c>
      <c r="J59" s="7">
        <v>10</v>
      </c>
      <c r="K59" s="7">
        <v>31.6</v>
      </c>
      <c r="L59" s="7">
        <v>395</v>
      </c>
      <c r="M59" s="7">
        <f>Tabelle156[[#This Row],[Anzahl Frames]]/Tabelle156[[#This Row],[Aufnahmezeit '[s']]]</f>
        <v>12.5</v>
      </c>
      <c r="N59" s="7">
        <f>1/Tabelle156[[#This Row],[Mean fps ]]</f>
        <v>0.08</v>
      </c>
      <c r="O59" s="7">
        <v>40</v>
      </c>
      <c r="Q59" s="11" t="s">
        <v>157</v>
      </c>
      <c r="R59" s="7">
        <v>6.125</v>
      </c>
      <c r="S59" s="7">
        <v>5.4429999999999996</v>
      </c>
      <c r="T59" s="7">
        <v>7.492</v>
      </c>
      <c r="U59" s="7"/>
      <c r="V59" s="7"/>
      <c r="W59" s="7"/>
      <c r="X59" s="7"/>
      <c r="Y59" s="7" t="e" cm="1">
        <f t="array" ref="Y59">STABW</f>
        <v>#NAME?</v>
      </c>
      <c r="Z59" s="7"/>
      <c r="AA59" s="7"/>
      <c r="AB59" s="7" t="e">
        <f>Tabelle156[[#This Row],[Standardabweichung 1]]/Tabelle156[[#This Row],[Mean Visc. 1 '[mPas']]]</f>
        <v>#NAME?</v>
      </c>
      <c r="AC59" s="7"/>
      <c r="AD59" s="7"/>
      <c r="AE59" s="7"/>
      <c r="AF59" s="7">
        <f>1-Tabelle156[[#This Row],[Mean Visc. 1 '[mPas']]]/$AE$2</f>
        <v>1</v>
      </c>
      <c r="AG59" s="7"/>
      <c r="AH59" s="7"/>
    </row>
    <row r="60" spans="1:34" x14ac:dyDescent="0.3">
      <c r="A60" t="s">
        <v>88</v>
      </c>
      <c r="B60" s="4"/>
      <c r="C60" s="5"/>
      <c r="F60" t="s">
        <v>54</v>
      </c>
      <c r="H60" s="9" t="s">
        <v>12</v>
      </c>
      <c r="I60" s="7">
        <v>23.8</v>
      </c>
      <c r="J60" s="7">
        <v>10</v>
      </c>
      <c r="K60" s="7">
        <v>31.84</v>
      </c>
      <c r="L60" s="7">
        <v>398</v>
      </c>
      <c r="M60" s="7">
        <f>Tabelle156[[#This Row],[Anzahl Frames]]/Tabelle156[[#This Row],[Aufnahmezeit '[s']]]</f>
        <v>12.5</v>
      </c>
      <c r="N60" s="7">
        <f>1/Tabelle156[[#This Row],[Mean fps ]]</f>
        <v>0.08</v>
      </c>
      <c r="O60" s="7">
        <v>40</v>
      </c>
      <c r="Q60" s="11" t="s">
        <v>158</v>
      </c>
      <c r="R60" s="7">
        <v>5.8719999999999999</v>
      </c>
      <c r="S60" s="7">
        <v>5.3289999999999997</v>
      </c>
      <c r="T60" s="7">
        <v>7.2</v>
      </c>
      <c r="U60" s="7"/>
      <c r="V60" s="7"/>
      <c r="W60" s="7"/>
      <c r="X60" s="7"/>
      <c r="Y60" s="7" t="e" cm="1">
        <f t="array" ref="Y60">STABW</f>
        <v>#NAME?</v>
      </c>
      <c r="Z60" s="7"/>
      <c r="AA60" s="7"/>
      <c r="AB60" s="7" t="e">
        <f>Tabelle156[[#This Row],[Standardabweichung 1]]/Tabelle156[[#This Row],[Mean Visc. 1 '[mPas']]]</f>
        <v>#NAME?</v>
      </c>
      <c r="AC60" s="7"/>
      <c r="AD60" s="7"/>
      <c r="AE60" s="7"/>
      <c r="AF60" s="7">
        <f>1-Tabelle156[[#This Row],[Mean Visc. 1 '[mPas']]]/$AE$2</f>
        <v>1</v>
      </c>
      <c r="AG60" s="7"/>
      <c r="AH60" s="7"/>
    </row>
    <row r="61" spans="1:34" s="14" customFormat="1" ht="15" thickBot="1" x14ac:dyDescent="0.35">
      <c r="A61" s="14" t="s">
        <v>89</v>
      </c>
      <c r="B61" s="15"/>
      <c r="C61" s="16"/>
      <c r="D61" s="17"/>
      <c r="F61" s="14" t="s">
        <v>54</v>
      </c>
      <c r="G61" s="21"/>
      <c r="H61" s="19" t="s">
        <v>12</v>
      </c>
      <c r="I61" s="17">
        <v>23.8</v>
      </c>
      <c r="J61" s="17">
        <v>10</v>
      </c>
      <c r="K61" s="17">
        <v>30.42</v>
      </c>
      <c r="L61" s="17">
        <v>379</v>
      </c>
      <c r="M61" s="17">
        <f>Tabelle156[[#This Row],[Anzahl Frames]]/Tabelle156[[#This Row],[Aufnahmezeit '[s']]]</f>
        <v>12.458908612754765</v>
      </c>
      <c r="N61" s="17">
        <f>1/Tabelle156[[#This Row],[Mean fps ]]</f>
        <v>8.0263852242744071E-2</v>
      </c>
      <c r="O61" s="17">
        <v>40</v>
      </c>
      <c r="P61" s="20"/>
      <c r="Q61" s="11" t="s">
        <v>159</v>
      </c>
      <c r="R61" s="17">
        <v>6.1280000000000001</v>
      </c>
      <c r="S61" s="17">
        <v>5.89</v>
      </c>
      <c r="T61" s="17">
        <v>7.35</v>
      </c>
      <c r="U61" s="17"/>
      <c r="V61" s="7">
        <f>SUM(R52:R61)/10</f>
        <v>6.1837999999999997</v>
      </c>
      <c r="W61" s="7">
        <f t="shared" ref="W61" si="9">SUM(S52:S61)/10</f>
        <v>5.6591999999999993</v>
      </c>
      <c r="X61" s="7">
        <f t="shared" ref="X61" si="10">SUM(T52:T61)/10</f>
        <v>7.4475999999999987</v>
      </c>
      <c r="Y61" s="17">
        <f>_xlfn.STDEV.S(R52:R61)</f>
        <v>0.27006328476447478</v>
      </c>
      <c r="Z61" s="17">
        <f>_xlfn.STDEV.S(S52:S61)</f>
        <v>0.22702315104656431</v>
      </c>
      <c r="AA61" s="17">
        <f>_xlfn.STDEV.S(T52:T61)</f>
        <v>0.18506527376997439</v>
      </c>
      <c r="AB61" s="17">
        <f>Tabelle156[[#This Row],[Standardabweichung 1]]/Tabelle156[[#This Row],[Mean Visc. 1 '[mPas']]]</f>
        <v>4.3672706873520289E-2</v>
      </c>
      <c r="AC61" s="17">
        <f>Tabelle156[[#This Row],[Standardabweichung 2]]/Tabelle156[[#This Row],[Mean Visc. 2 '[mPas']2]]</f>
        <v>4.011576743118539E-2</v>
      </c>
      <c r="AD61" s="17">
        <f>Tabelle156[[#This Row],[Standardabweichung 3]]/Tabelle156[[#This Row],[Mean Visc. 3 '[mPas']3]]</f>
        <v>2.4848981385946402E-2</v>
      </c>
      <c r="AE61" s="17"/>
      <c r="AF61" s="17">
        <f>1-Tabelle156[[#This Row],[Mean Visc. 1 '[mPas']]]/$AE52</f>
        <v>-0.11701589595375728</v>
      </c>
      <c r="AG61" s="17"/>
      <c r="AH61" s="17"/>
    </row>
    <row r="62" spans="1:34" ht="15" thickTop="1" x14ac:dyDescent="0.3">
      <c r="B62" s="4"/>
      <c r="C62" s="5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x14ac:dyDescent="0.3">
      <c r="B63" s="4"/>
      <c r="C63" s="5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s="7" customFormat="1" x14ac:dyDescent="0.3">
      <c r="A64"/>
      <c r="B64" s="4"/>
      <c r="C64" s="5"/>
      <c r="E64"/>
      <c r="F64"/>
      <c r="G64" s="11"/>
      <c r="H64" s="9"/>
      <c r="P64" s="3"/>
      <c r="Q64" s="11"/>
    </row>
    <row r="65" spans="1:24" s="7" customFormat="1" x14ac:dyDescent="0.3">
      <c r="A65"/>
      <c r="B65" s="4"/>
      <c r="C65" s="5"/>
      <c r="E65"/>
      <c r="F65"/>
      <c r="G65" s="11"/>
      <c r="H65" s="9"/>
      <c r="P65" s="3"/>
      <c r="Q65" s="11"/>
    </row>
    <row r="66" spans="1:24" s="7" customFormat="1" x14ac:dyDescent="0.3">
      <c r="A66"/>
      <c r="B66" s="4"/>
      <c r="C66" s="5"/>
      <c r="E66"/>
      <c r="F66"/>
      <c r="G66" s="11"/>
      <c r="H66" s="9"/>
      <c r="P66" s="3"/>
      <c r="Q66" s="11"/>
    </row>
    <row r="67" spans="1:24" s="7" customFormat="1" x14ac:dyDescent="0.3">
      <c r="A67"/>
      <c r="B67" s="4"/>
      <c r="C67" s="5"/>
      <c r="E67"/>
      <c r="F67"/>
      <c r="G67" s="11"/>
      <c r="H67" s="9"/>
      <c r="P67" s="3"/>
      <c r="Q67" s="11"/>
    </row>
    <row r="68" spans="1:24" s="7" customFormat="1" x14ac:dyDescent="0.3">
      <c r="A68"/>
      <c r="B68" s="4"/>
      <c r="C68" s="5"/>
      <c r="E68"/>
      <c r="F68"/>
      <c r="G68" s="11"/>
      <c r="H68" s="9"/>
      <c r="P68" s="3"/>
      <c r="Q68" s="11"/>
    </row>
    <row r="69" spans="1:24" s="7" customFormat="1" x14ac:dyDescent="0.3">
      <c r="A69"/>
      <c r="B69" s="4"/>
      <c r="C69" s="5"/>
      <c r="E69"/>
      <c r="F69"/>
      <c r="G69" s="11"/>
      <c r="H69" s="9"/>
      <c r="P69" s="3"/>
      <c r="Q69" s="11"/>
    </row>
    <row r="70" spans="1:24" s="7" customFormat="1" x14ac:dyDescent="0.3">
      <c r="A70"/>
      <c r="B70" s="4"/>
      <c r="C70" s="5"/>
      <c r="E70"/>
      <c r="F70"/>
      <c r="G70" s="11"/>
      <c r="H70" s="9"/>
      <c r="P70" s="3"/>
      <c r="Q70" s="11"/>
    </row>
    <row r="71" spans="1:24" s="7" customFormat="1" x14ac:dyDescent="0.3">
      <c r="A71"/>
      <c r="B71" s="4"/>
      <c r="C71" s="5"/>
      <c r="E71"/>
      <c r="F71"/>
      <c r="G71" s="11"/>
      <c r="H71" s="9"/>
      <c r="P71" s="3"/>
      <c r="Q71" s="11"/>
    </row>
    <row r="72" spans="1:24" s="7" customFormat="1" x14ac:dyDescent="0.3">
      <c r="A72"/>
      <c r="B72" s="4"/>
      <c r="C72" s="4"/>
      <c r="E72"/>
      <c r="F72"/>
      <c r="G72" s="11"/>
      <c r="H72" s="9"/>
      <c r="P72" s="3"/>
      <c r="Q72" s="11"/>
      <c r="R72"/>
      <c r="S72"/>
      <c r="T72"/>
      <c r="U72"/>
      <c r="V72"/>
      <c r="W72"/>
      <c r="X72"/>
    </row>
    <row r="73" spans="1:24" s="7" customFormat="1" x14ac:dyDescent="0.3">
      <c r="A73"/>
      <c r="B73" s="4"/>
      <c r="C73" s="4"/>
      <c r="E73"/>
      <c r="F73"/>
      <c r="G73" s="11"/>
      <c r="H73" s="9"/>
      <c r="P73" s="3"/>
      <c r="Q73" s="11"/>
      <c r="R73"/>
      <c r="S73"/>
      <c r="T73"/>
      <c r="U73"/>
      <c r="V73"/>
      <c r="W73"/>
      <c r="X73"/>
    </row>
    <row r="74" spans="1:24" s="7" customFormat="1" x14ac:dyDescent="0.3">
      <c r="A74"/>
      <c r="B74" s="4"/>
      <c r="C74" s="4"/>
      <c r="E74"/>
      <c r="F74"/>
      <c r="G74" s="11"/>
      <c r="H74" s="9"/>
      <c r="P74" s="3"/>
      <c r="Q74" s="11"/>
      <c r="R74"/>
      <c r="S74"/>
      <c r="T74"/>
      <c r="U74"/>
      <c r="V74"/>
      <c r="W74"/>
      <c r="X74"/>
    </row>
    <row r="75" spans="1:24" s="7" customFormat="1" x14ac:dyDescent="0.3">
      <c r="A75"/>
      <c r="B75" s="4"/>
      <c r="C75" s="4"/>
      <c r="E75"/>
      <c r="F75"/>
      <c r="G75" s="11"/>
      <c r="H75" s="9"/>
      <c r="P75" s="3"/>
      <c r="Q75" s="11"/>
      <c r="R75"/>
      <c r="S75"/>
      <c r="T75"/>
      <c r="U75"/>
      <c r="V75"/>
      <c r="W75"/>
      <c r="X75"/>
    </row>
    <row r="76" spans="1:24" s="7" customFormat="1" x14ac:dyDescent="0.3">
      <c r="A76"/>
      <c r="B76" s="4"/>
      <c r="C76" s="4"/>
      <c r="E76"/>
      <c r="F76"/>
      <c r="G76" s="11"/>
      <c r="H76" s="9"/>
      <c r="P76" s="3"/>
      <c r="Q76" s="11"/>
      <c r="R76"/>
      <c r="S76"/>
      <c r="T76"/>
      <c r="U76"/>
      <c r="V76"/>
      <c r="W76"/>
      <c r="X76"/>
    </row>
    <row r="77" spans="1:24" s="7" customFormat="1" x14ac:dyDescent="0.3">
      <c r="A77"/>
      <c r="B77" s="4"/>
      <c r="C77" s="4"/>
      <c r="E77"/>
      <c r="F77"/>
      <c r="G77" s="11"/>
      <c r="H77" s="9"/>
      <c r="P77" s="3"/>
      <c r="Q77" s="11"/>
      <c r="R77"/>
      <c r="S77"/>
      <c r="T77"/>
      <c r="U77"/>
      <c r="V77"/>
      <c r="W77"/>
      <c r="X77"/>
    </row>
    <row r="78" spans="1:24" s="7" customFormat="1" x14ac:dyDescent="0.3">
      <c r="A78"/>
      <c r="B78" s="4"/>
      <c r="C78" s="4"/>
      <c r="E78"/>
      <c r="F78"/>
      <c r="G78" s="11"/>
      <c r="H78" s="9"/>
      <c r="P78" s="3"/>
      <c r="Q78" s="11"/>
      <c r="R78"/>
      <c r="S78"/>
      <c r="T78"/>
      <c r="U78"/>
      <c r="V78"/>
      <c r="W78"/>
      <c r="X78"/>
    </row>
    <row r="79" spans="1:24" s="7" customFormat="1" x14ac:dyDescent="0.3">
      <c r="A79"/>
      <c r="B79" s="4"/>
      <c r="C79" s="4"/>
      <c r="E79"/>
      <c r="F79"/>
      <c r="G79" s="11"/>
      <c r="H79" s="9"/>
      <c r="P79" s="3"/>
      <c r="Q79" s="11"/>
      <c r="R79"/>
      <c r="S79"/>
      <c r="T79"/>
      <c r="U79"/>
      <c r="V79"/>
      <c r="W79"/>
      <c r="X79"/>
    </row>
    <row r="80" spans="1:24" s="7" customFormat="1" x14ac:dyDescent="0.3">
      <c r="A80"/>
      <c r="B80" s="4"/>
      <c r="C80" s="4"/>
      <c r="E80"/>
      <c r="F80"/>
      <c r="G80" s="11"/>
      <c r="H80" s="9"/>
      <c r="P80" s="3"/>
      <c r="Q80" s="11"/>
      <c r="R80"/>
      <c r="S80"/>
      <c r="T80"/>
      <c r="U80"/>
      <c r="V80"/>
      <c r="W80"/>
      <c r="X80"/>
    </row>
    <row r="81" spans="1:24" s="7" customFormat="1" x14ac:dyDescent="0.3">
      <c r="A81"/>
      <c r="B81" s="4"/>
      <c r="C81" s="4"/>
      <c r="E81"/>
      <c r="F81"/>
      <c r="G81" s="11"/>
      <c r="H81" s="9"/>
      <c r="P81" s="3"/>
      <c r="Q81" s="11"/>
      <c r="R81"/>
      <c r="S81"/>
      <c r="T81"/>
      <c r="U81"/>
      <c r="V81"/>
      <c r="W81"/>
      <c r="X81"/>
    </row>
    <row r="82" spans="1:24" s="7" customFormat="1" x14ac:dyDescent="0.3">
      <c r="A82"/>
      <c r="B82" s="4"/>
      <c r="C82" s="4"/>
      <c r="E82"/>
      <c r="F82"/>
      <c r="G82" s="11"/>
      <c r="H82" s="9"/>
      <c r="P82" s="3"/>
      <c r="Q82" s="11"/>
      <c r="R82"/>
      <c r="S82"/>
      <c r="T82"/>
      <c r="U82"/>
      <c r="V82"/>
      <c r="W82"/>
      <c r="X82"/>
    </row>
    <row r="83" spans="1:24" s="7" customFormat="1" x14ac:dyDescent="0.3">
      <c r="A83"/>
      <c r="B83" s="4"/>
      <c r="C83" s="4"/>
      <c r="E83"/>
      <c r="F83"/>
      <c r="G83" s="11"/>
      <c r="H83" s="9"/>
      <c r="P83" s="3"/>
      <c r="Q83" s="11"/>
      <c r="R83"/>
      <c r="S83"/>
      <c r="T83"/>
      <c r="U83"/>
      <c r="V83"/>
      <c r="W83"/>
      <c r="X83"/>
    </row>
    <row r="84" spans="1:24" s="7" customFormat="1" x14ac:dyDescent="0.3">
      <c r="A84"/>
      <c r="B84" s="4"/>
      <c r="C84" s="4"/>
      <c r="E84"/>
      <c r="F84"/>
      <c r="G84" s="11"/>
      <c r="H84" s="9"/>
      <c r="P84" s="3"/>
      <c r="Q84" s="11"/>
      <c r="R84"/>
      <c r="S84"/>
      <c r="T84"/>
      <c r="U84"/>
      <c r="V84"/>
      <c r="W84"/>
      <c r="X84"/>
    </row>
    <row r="85" spans="1:24" s="7" customFormat="1" x14ac:dyDescent="0.3">
      <c r="A85"/>
      <c r="B85" s="4"/>
      <c r="C85" s="4"/>
      <c r="E85"/>
      <c r="F85"/>
      <c r="G85" s="11"/>
      <c r="H85" s="9"/>
      <c r="P85" s="3"/>
      <c r="Q85" s="11"/>
      <c r="R85"/>
      <c r="S85"/>
      <c r="T85"/>
      <c r="U85"/>
      <c r="V85"/>
      <c r="W85"/>
      <c r="X85"/>
    </row>
    <row r="86" spans="1:24" s="7" customFormat="1" x14ac:dyDescent="0.3">
      <c r="A86"/>
      <c r="B86" s="4"/>
      <c r="C86" s="4"/>
      <c r="E86"/>
      <c r="F86"/>
      <c r="G86" s="11"/>
      <c r="H86" s="9"/>
      <c r="P86" s="3"/>
      <c r="Q86" s="11"/>
      <c r="R86"/>
      <c r="S86"/>
      <c r="T86"/>
      <c r="U86"/>
      <c r="V86"/>
      <c r="W86"/>
      <c r="X86"/>
    </row>
    <row r="87" spans="1:24" s="7" customFormat="1" x14ac:dyDescent="0.3">
      <c r="A87"/>
      <c r="B87" s="4"/>
      <c r="C87" s="4"/>
      <c r="E87"/>
      <c r="F87"/>
      <c r="G87" s="11"/>
      <c r="H87" s="9"/>
      <c r="P87" s="3"/>
      <c r="Q87" s="11"/>
      <c r="R87"/>
      <c r="S87"/>
      <c r="T87"/>
      <c r="U87"/>
      <c r="V87"/>
      <c r="W87"/>
      <c r="X87"/>
    </row>
    <row r="88" spans="1:24" s="7" customFormat="1" x14ac:dyDescent="0.3">
      <c r="A88"/>
      <c r="B88" s="4"/>
      <c r="C88" s="4"/>
      <c r="E88"/>
      <c r="F88"/>
      <c r="G88" s="11"/>
      <c r="H88" s="9"/>
      <c r="P88" s="3"/>
      <c r="Q88" s="11"/>
      <c r="R88"/>
      <c r="S88"/>
      <c r="T88"/>
      <c r="U88"/>
      <c r="V88"/>
      <c r="W88"/>
      <c r="X88"/>
    </row>
    <row r="89" spans="1:24" s="7" customFormat="1" x14ac:dyDescent="0.3">
      <c r="A89"/>
      <c r="B89" s="4"/>
      <c r="C89" s="4"/>
      <c r="E89"/>
      <c r="F89"/>
      <c r="G89" s="11"/>
      <c r="H89" s="9"/>
      <c r="P89" s="3"/>
      <c r="Q89" s="11"/>
      <c r="R89"/>
      <c r="S89"/>
      <c r="T89"/>
      <c r="U89"/>
      <c r="V89"/>
      <c r="W89"/>
      <c r="X89"/>
    </row>
    <row r="90" spans="1:24" s="7" customFormat="1" x14ac:dyDescent="0.3">
      <c r="A90"/>
      <c r="B90" s="4"/>
      <c r="C90" s="4"/>
      <c r="E90"/>
      <c r="F90"/>
      <c r="G90" s="11"/>
      <c r="H90" s="9"/>
      <c r="P90" s="3"/>
      <c r="Q90" s="11"/>
      <c r="R90"/>
      <c r="S90"/>
      <c r="T90"/>
      <c r="U90"/>
      <c r="V90"/>
      <c r="W90"/>
      <c r="X90"/>
    </row>
    <row r="91" spans="1:24" s="7" customFormat="1" x14ac:dyDescent="0.3">
      <c r="A91"/>
      <c r="B91" s="4"/>
      <c r="C91" s="4"/>
      <c r="E91"/>
      <c r="F91"/>
      <c r="G91" s="11"/>
      <c r="H91" s="9"/>
      <c r="P91" s="3"/>
      <c r="Q91" s="11"/>
      <c r="R91"/>
      <c r="S91"/>
      <c r="T91"/>
      <c r="U91"/>
      <c r="V91"/>
      <c r="W91"/>
      <c r="X91"/>
    </row>
    <row r="92" spans="1:24" s="7" customFormat="1" x14ac:dyDescent="0.3">
      <c r="A92"/>
      <c r="B92" s="4"/>
      <c r="C92" s="4"/>
      <c r="E92"/>
      <c r="F92"/>
      <c r="G92" s="11"/>
      <c r="H92" s="9"/>
      <c r="P92" s="3"/>
      <c r="Q92" s="11"/>
      <c r="R92"/>
      <c r="S92"/>
      <c r="T92"/>
      <c r="U92"/>
      <c r="V92"/>
      <c r="W92"/>
      <c r="X92"/>
    </row>
    <row r="93" spans="1:24" s="7" customFormat="1" x14ac:dyDescent="0.3">
      <c r="A93"/>
      <c r="B93" s="4"/>
      <c r="C93" s="4"/>
      <c r="E93"/>
      <c r="F93"/>
      <c r="G93" s="11"/>
      <c r="H93" s="9"/>
      <c r="P93" s="3"/>
      <c r="Q93" s="11"/>
      <c r="R93"/>
      <c r="S93"/>
      <c r="T93"/>
      <c r="U93"/>
      <c r="V93"/>
      <c r="W93"/>
      <c r="X93"/>
    </row>
    <row r="94" spans="1:24" s="7" customFormat="1" x14ac:dyDescent="0.3">
      <c r="A94"/>
      <c r="B94" s="4"/>
      <c r="C94" s="4"/>
      <c r="E94"/>
      <c r="F94"/>
      <c r="G94" s="11"/>
      <c r="H94" s="9"/>
      <c r="P94" s="3"/>
      <c r="Q94" s="11"/>
      <c r="R94"/>
      <c r="S94"/>
      <c r="T94"/>
      <c r="U94"/>
      <c r="V94"/>
      <c r="W94"/>
      <c r="X94"/>
    </row>
    <row r="95" spans="1:24" s="7" customFormat="1" x14ac:dyDescent="0.3">
      <c r="A95"/>
      <c r="B95" s="4"/>
      <c r="C95" s="4"/>
      <c r="E95"/>
      <c r="F95"/>
      <c r="G95" s="11"/>
      <c r="H95" s="9"/>
      <c r="P95" s="3"/>
      <c r="Q95" s="11"/>
      <c r="R95"/>
      <c r="S95"/>
      <c r="T95"/>
      <c r="U95"/>
      <c r="V95"/>
      <c r="W95"/>
      <c r="X95"/>
    </row>
    <row r="96" spans="1:24" s="7" customFormat="1" x14ac:dyDescent="0.3">
      <c r="A96"/>
      <c r="B96" s="4"/>
      <c r="C96" s="4"/>
      <c r="E96"/>
      <c r="F96"/>
      <c r="G96" s="11"/>
      <c r="H96" s="9"/>
      <c r="P96" s="3"/>
      <c r="Q96" s="11"/>
      <c r="R96"/>
      <c r="S96"/>
      <c r="T96"/>
      <c r="U96"/>
      <c r="V96"/>
      <c r="W96"/>
      <c r="X96"/>
    </row>
    <row r="97" spans="1:24" s="7" customFormat="1" x14ac:dyDescent="0.3">
      <c r="A97"/>
      <c r="B97" s="4"/>
      <c r="C97" s="4"/>
      <c r="E97"/>
      <c r="F97"/>
      <c r="G97" s="11"/>
      <c r="H97" s="9"/>
      <c r="P97" s="3"/>
      <c r="Q97" s="11"/>
      <c r="R97"/>
      <c r="S97"/>
      <c r="T97"/>
      <c r="U97"/>
      <c r="V97"/>
      <c r="W97"/>
      <c r="X97"/>
    </row>
    <row r="98" spans="1:24" s="7" customFormat="1" x14ac:dyDescent="0.3">
      <c r="A98"/>
      <c r="B98" s="4"/>
      <c r="C98" s="4"/>
      <c r="E98"/>
      <c r="F98"/>
      <c r="G98" s="11"/>
      <c r="H98" s="9"/>
      <c r="P98" s="3"/>
      <c r="Q98" s="11"/>
      <c r="R98"/>
      <c r="S98"/>
      <c r="T98"/>
      <c r="U98"/>
      <c r="V98"/>
      <c r="W98"/>
      <c r="X98"/>
    </row>
    <row r="99" spans="1:24" s="7" customFormat="1" x14ac:dyDescent="0.3">
      <c r="A99"/>
      <c r="B99" s="4"/>
      <c r="C99" s="4"/>
      <c r="E99"/>
      <c r="F99"/>
      <c r="G99" s="11"/>
      <c r="H99" s="9"/>
      <c r="P99" s="3"/>
      <c r="Q99" s="11"/>
      <c r="R99"/>
      <c r="S99"/>
      <c r="T99"/>
      <c r="U99"/>
      <c r="V99"/>
      <c r="W99"/>
      <c r="X99"/>
    </row>
    <row r="100" spans="1:24" s="7" customFormat="1" x14ac:dyDescent="0.3">
      <c r="A100"/>
      <c r="B100" s="4"/>
      <c r="C100" s="4"/>
      <c r="E100"/>
      <c r="F100"/>
      <c r="G100" s="11"/>
      <c r="H100" s="9"/>
      <c r="P100" s="3"/>
      <c r="Q100" s="11"/>
      <c r="R100"/>
      <c r="S100"/>
      <c r="T100"/>
      <c r="U100"/>
      <c r="V100"/>
      <c r="W100"/>
      <c r="X100"/>
    </row>
    <row r="101" spans="1:24" s="7" customFormat="1" x14ac:dyDescent="0.3">
      <c r="A101"/>
      <c r="B101" s="4"/>
      <c r="C101" s="4"/>
      <c r="E101"/>
      <c r="F101"/>
      <c r="G101" s="11"/>
      <c r="H101" s="9"/>
      <c r="P101" s="3"/>
      <c r="Q101" s="11"/>
      <c r="R101"/>
      <c r="S101"/>
      <c r="T101"/>
      <c r="U101"/>
      <c r="V101"/>
      <c r="W101"/>
      <c r="X101"/>
    </row>
    <row r="102" spans="1:24" s="7" customFormat="1" x14ac:dyDescent="0.3">
      <c r="A102"/>
      <c r="B102" s="4"/>
      <c r="C102" s="4"/>
      <c r="E102"/>
      <c r="F102"/>
      <c r="G102" s="11"/>
      <c r="H102" s="9"/>
      <c r="P102" s="3"/>
      <c r="Q102" s="11"/>
      <c r="R102"/>
      <c r="S102"/>
      <c r="T102"/>
      <c r="U102"/>
      <c r="V102"/>
      <c r="W102"/>
      <c r="X102"/>
    </row>
    <row r="103" spans="1:24" s="7" customFormat="1" x14ac:dyDescent="0.3">
      <c r="A103"/>
      <c r="B103" s="4"/>
      <c r="C103" s="4"/>
      <c r="E103"/>
      <c r="F103"/>
      <c r="G103" s="11"/>
      <c r="H103" s="9"/>
      <c r="P103" s="3"/>
      <c r="Q103" s="11"/>
      <c r="R103"/>
      <c r="S103"/>
      <c r="T103"/>
      <c r="U103"/>
      <c r="V103"/>
      <c r="W103"/>
      <c r="X103"/>
    </row>
    <row r="104" spans="1:24" s="7" customFormat="1" x14ac:dyDescent="0.3">
      <c r="A104"/>
      <c r="B104" s="4"/>
      <c r="C104" s="4"/>
      <c r="E104"/>
      <c r="F104"/>
      <c r="G104" s="11"/>
      <c r="H104" s="9"/>
      <c r="P104" s="3"/>
      <c r="Q104" s="11"/>
      <c r="R104"/>
      <c r="S104"/>
      <c r="T104"/>
      <c r="U104"/>
      <c r="V104"/>
      <c r="W104"/>
      <c r="X104"/>
    </row>
    <row r="105" spans="1:24" s="7" customFormat="1" x14ac:dyDescent="0.3">
      <c r="A105"/>
      <c r="B105" s="4"/>
      <c r="C105" s="4"/>
      <c r="E105"/>
      <c r="F105"/>
      <c r="G105" s="11"/>
      <c r="H105" s="9"/>
      <c r="P105" s="3"/>
      <c r="Q105" s="11"/>
      <c r="R105"/>
      <c r="S105"/>
      <c r="T105"/>
      <c r="U105"/>
      <c r="V105"/>
      <c r="W105"/>
      <c r="X105"/>
    </row>
    <row r="106" spans="1:24" s="7" customFormat="1" x14ac:dyDescent="0.3">
      <c r="A106"/>
      <c r="B106" s="4"/>
      <c r="C106" s="4"/>
      <c r="E106"/>
      <c r="F106"/>
      <c r="G106" s="11"/>
      <c r="H106" s="9"/>
      <c r="P106" s="3"/>
      <c r="Q106" s="11"/>
      <c r="R106"/>
      <c r="S106"/>
      <c r="T106"/>
      <c r="U106"/>
      <c r="V106"/>
      <c r="W106"/>
      <c r="X106"/>
    </row>
    <row r="107" spans="1:24" s="7" customFormat="1" x14ac:dyDescent="0.3">
      <c r="A107"/>
      <c r="B107" s="4"/>
      <c r="C107" s="4"/>
      <c r="E107"/>
      <c r="F107"/>
      <c r="G107" s="11"/>
      <c r="H107" s="9"/>
      <c r="P107" s="3"/>
      <c r="Q107" s="11"/>
      <c r="R107"/>
      <c r="S107"/>
      <c r="T107"/>
      <c r="U107"/>
      <c r="V107"/>
      <c r="W107"/>
      <c r="X107"/>
    </row>
    <row r="108" spans="1:24" s="7" customFormat="1" x14ac:dyDescent="0.3">
      <c r="A108"/>
      <c r="B108" s="4"/>
      <c r="C108" s="4"/>
      <c r="E108"/>
      <c r="F108"/>
      <c r="G108" s="11"/>
      <c r="H108" s="9"/>
      <c r="P108" s="3"/>
      <c r="Q108" s="11"/>
      <c r="R108"/>
      <c r="S108"/>
      <c r="T108"/>
      <c r="U108"/>
      <c r="V108"/>
      <c r="W108"/>
      <c r="X108"/>
    </row>
    <row r="109" spans="1:24" s="7" customFormat="1" x14ac:dyDescent="0.3">
      <c r="A109"/>
      <c r="B109" s="4"/>
      <c r="C109" s="4"/>
      <c r="E109"/>
      <c r="F109"/>
      <c r="G109" s="11"/>
      <c r="H109" s="9"/>
      <c r="P109" s="3"/>
      <c r="Q109" s="11"/>
      <c r="R109"/>
      <c r="S109"/>
      <c r="T109"/>
      <c r="U109"/>
      <c r="V109"/>
      <c r="W109"/>
      <c r="X109"/>
    </row>
    <row r="110" spans="1:24" s="7" customFormat="1" x14ac:dyDescent="0.3">
      <c r="A110"/>
      <c r="B110" s="4"/>
      <c r="C110" s="4"/>
      <c r="E110"/>
      <c r="F110"/>
      <c r="G110" s="11"/>
      <c r="H110" s="9"/>
      <c r="P110" s="3"/>
      <c r="Q110" s="11"/>
      <c r="R110"/>
      <c r="S110"/>
      <c r="T110"/>
      <c r="U110"/>
      <c r="V110"/>
      <c r="W110"/>
      <c r="X110"/>
    </row>
    <row r="111" spans="1:24" s="7" customFormat="1" x14ac:dyDescent="0.3">
      <c r="A111"/>
      <c r="B111" s="4"/>
      <c r="C111" s="4"/>
      <c r="E111"/>
      <c r="F111"/>
      <c r="G111" s="11"/>
      <c r="H111" s="9"/>
      <c r="P111" s="3"/>
      <c r="Q111" s="11"/>
      <c r="R111"/>
      <c r="S111"/>
      <c r="T111"/>
      <c r="U111"/>
      <c r="V111"/>
      <c r="W111"/>
      <c r="X111"/>
    </row>
    <row r="112" spans="1:24" s="7" customFormat="1" x14ac:dyDescent="0.3">
      <c r="A112"/>
      <c r="B112" s="4"/>
      <c r="C112" s="4"/>
      <c r="E112"/>
      <c r="F112"/>
      <c r="G112" s="11"/>
      <c r="H112" s="9"/>
      <c r="P112" s="3"/>
      <c r="Q112" s="11"/>
      <c r="R112"/>
      <c r="S112"/>
      <c r="T112"/>
      <c r="U112"/>
      <c r="V112"/>
      <c r="W112"/>
      <c r="X112"/>
    </row>
    <row r="113" spans="1:24" s="7" customFormat="1" x14ac:dyDescent="0.3">
      <c r="A113"/>
      <c r="B113" s="4"/>
      <c r="C113" s="4"/>
      <c r="E113"/>
      <c r="F113"/>
      <c r="G113" s="11"/>
      <c r="H113" s="9"/>
      <c r="P113" s="3"/>
      <c r="Q113" s="11"/>
      <c r="R113"/>
      <c r="S113"/>
      <c r="T113"/>
      <c r="U113"/>
      <c r="V113"/>
      <c r="W113"/>
      <c r="X113"/>
    </row>
    <row r="114" spans="1:24" s="7" customFormat="1" x14ac:dyDescent="0.3">
      <c r="A114"/>
      <c r="B114" s="4"/>
      <c r="C114" s="4"/>
      <c r="E114"/>
      <c r="F114"/>
      <c r="G114" s="11"/>
      <c r="H114" s="9"/>
      <c r="P114" s="3"/>
      <c r="Q114" s="11"/>
      <c r="R114"/>
      <c r="S114"/>
      <c r="T114"/>
      <c r="U114"/>
      <c r="V114"/>
      <c r="W114"/>
      <c r="X114"/>
    </row>
    <row r="115" spans="1:24" s="7" customFormat="1" x14ac:dyDescent="0.3">
      <c r="A115"/>
      <c r="B115" s="4"/>
      <c r="C115" s="4"/>
      <c r="E115"/>
      <c r="F115"/>
      <c r="G115" s="11"/>
      <c r="H115" s="9"/>
      <c r="P115" s="3"/>
      <c r="Q115" s="11"/>
      <c r="R115"/>
      <c r="S115"/>
      <c r="T115"/>
      <c r="U115"/>
      <c r="V115"/>
      <c r="W115"/>
      <c r="X115"/>
    </row>
    <row r="116" spans="1:24" s="7" customFormat="1" x14ac:dyDescent="0.3">
      <c r="A116"/>
      <c r="B116" s="4"/>
      <c r="C116" s="4"/>
      <c r="E116"/>
      <c r="F116"/>
      <c r="G116" s="11"/>
      <c r="H116" s="9"/>
      <c r="P116" s="3"/>
      <c r="Q116" s="11"/>
      <c r="R116"/>
      <c r="S116"/>
      <c r="T116"/>
      <c r="U116"/>
      <c r="V116"/>
      <c r="W116"/>
      <c r="X116"/>
    </row>
    <row r="117" spans="1:24" s="7" customFormat="1" x14ac:dyDescent="0.3">
      <c r="A117"/>
      <c r="B117" s="4"/>
      <c r="C117" s="4"/>
      <c r="E117"/>
      <c r="F117"/>
      <c r="G117" s="11"/>
      <c r="H117" s="9"/>
      <c r="P117" s="3"/>
      <c r="Q117" s="11"/>
      <c r="R117"/>
      <c r="S117"/>
      <c r="T117"/>
      <c r="U117"/>
      <c r="V117"/>
      <c r="W117"/>
      <c r="X117"/>
    </row>
    <row r="118" spans="1:24" s="7" customFormat="1" x14ac:dyDescent="0.3">
      <c r="A118"/>
      <c r="B118" s="4"/>
      <c r="C118" s="4"/>
      <c r="E118"/>
      <c r="F118"/>
      <c r="G118" s="11"/>
      <c r="H118" s="9"/>
      <c r="P118" s="3"/>
      <c r="Q118" s="11"/>
      <c r="R118"/>
      <c r="S118"/>
      <c r="T118"/>
      <c r="U118"/>
      <c r="V118"/>
      <c r="W118"/>
      <c r="X118"/>
    </row>
    <row r="119" spans="1:24" s="7" customFormat="1" x14ac:dyDescent="0.3">
      <c r="A119"/>
      <c r="B119" s="4"/>
      <c r="C119" s="4"/>
      <c r="E119"/>
      <c r="F119"/>
      <c r="G119" s="11"/>
      <c r="H119" s="9"/>
      <c r="P119" s="3"/>
      <c r="Q119" s="11"/>
      <c r="R119"/>
      <c r="S119"/>
      <c r="T119"/>
      <c r="U119"/>
      <c r="V119"/>
      <c r="W119"/>
      <c r="X119"/>
    </row>
    <row r="120" spans="1:24" s="7" customFormat="1" x14ac:dyDescent="0.3">
      <c r="A120"/>
      <c r="B120" s="4"/>
      <c r="C120" s="4"/>
      <c r="E120"/>
      <c r="F120"/>
      <c r="G120" s="11"/>
      <c r="H120" s="9"/>
      <c r="P120" s="3"/>
      <c r="Q120" s="11"/>
      <c r="R120"/>
      <c r="S120"/>
      <c r="T120"/>
      <c r="U120"/>
      <c r="V120"/>
      <c r="W120"/>
      <c r="X120"/>
    </row>
    <row r="121" spans="1:24" s="7" customFormat="1" x14ac:dyDescent="0.3">
      <c r="A121"/>
      <c r="B121" s="4"/>
      <c r="C121" s="4"/>
      <c r="E121"/>
      <c r="F121"/>
      <c r="G121" s="11"/>
      <c r="H121" s="9"/>
      <c r="P121" s="3"/>
      <c r="Q121" s="11"/>
      <c r="R121"/>
      <c r="S121"/>
      <c r="T121"/>
      <c r="U121"/>
      <c r="V121"/>
      <c r="W121"/>
      <c r="X121"/>
    </row>
    <row r="122" spans="1:24" s="7" customFormat="1" x14ac:dyDescent="0.3">
      <c r="A122"/>
      <c r="B122" s="4"/>
      <c r="C122" s="4"/>
      <c r="E122"/>
      <c r="F122"/>
      <c r="G122" s="11"/>
      <c r="H122" s="9"/>
      <c r="P122" s="3"/>
      <c r="Q122" s="11"/>
      <c r="R122"/>
      <c r="S122"/>
      <c r="T122"/>
      <c r="U122"/>
      <c r="V122"/>
      <c r="W122"/>
      <c r="X122"/>
    </row>
    <row r="123" spans="1:24" s="7" customFormat="1" x14ac:dyDescent="0.3">
      <c r="A123"/>
      <c r="B123" s="4"/>
      <c r="C123" s="4"/>
      <c r="E123"/>
      <c r="F123"/>
      <c r="G123" s="11"/>
      <c r="H123" s="9"/>
      <c r="P123" s="3"/>
      <c r="Q123" s="11"/>
      <c r="R123"/>
      <c r="S123"/>
      <c r="T123"/>
      <c r="U123"/>
      <c r="V123"/>
      <c r="W123"/>
      <c r="X123"/>
    </row>
    <row r="124" spans="1:24" s="7" customFormat="1" x14ac:dyDescent="0.3">
      <c r="A124"/>
      <c r="B124" s="4"/>
      <c r="C124" s="4"/>
      <c r="E124"/>
      <c r="F124"/>
      <c r="G124" s="11"/>
      <c r="H124" s="9"/>
      <c r="P124" s="3"/>
      <c r="Q124" s="11"/>
      <c r="R124"/>
      <c r="S124"/>
      <c r="T124"/>
      <c r="U124"/>
      <c r="V124"/>
      <c r="W124"/>
      <c r="X124"/>
    </row>
    <row r="125" spans="1:24" s="7" customFormat="1" x14ac:dyDescent="0.3">
      <c r="A125"/>
      <c r="B125" s="4"/>
      <c r="C125" s="4"/>
      <c r="E125"/>
      <c r="F125"/>
      <c r="G125" s="11"/>
      <c r="H125" s="9"/>
      <c r="P125" s="3"/>
      <c r="Q125" s="11"/>
      <c r="R125"/>
      <c r="S125"/>
      <c r="T125"/>
      <c r="U125"/>
      <c r="V125"/>
      <c r="W125"/>
      <c r="X125"/>
    </row>
    <row r="126" spans="1:24" s="7" customFormat="1" x14ac:dyDescent="0.3">
      <c r="A126"/>
      <c r="B126" s="4"/>
      <c r="C126" s="4"/>
      <c r="E126"/>
      <c r="F126"/>
      <c r="G126" s="11"/>
      <c r="H126" s="9"/>
      <c r="P126" s="3"/>
      <c r="Q126" s="11"/>
      <c r="R126"/>
      <c r="S126"/>
      <c r="T126"/>
      <c r="U126"/>
      <c r="V126"/>
      <c r="W126"/>
      <c r="X126"/>
    </row>
    <row r="127" spans="1:24" s="7" customFormat="1" x14ac:dyDescent="0.3">
      <c r="A127"/>
      <c r="B127" s="4"/>
      <c r="C127" s="4"/>
      <c r="E127"/>
      <c r="F127"/>
      <c r="G127" s="11"/>
      <c r="H127" s="9"/>
      <c r="P127" s="3"/>
      <c r="Q127" s="11"/>
      <c r="R127"/>
      <c r="S127"/>
      <c r="T127"/>
      <c r="U127"/>
      <c r="V127"/>
      <c r="W127"/>
      <c r="X127"/>
    </row>
    <row r="128" spans="1:24" s="7" customFormat="1" x14ac:dyDescent="0.3">
      <c r="A128"/>
      <c r="B128" s="4"/>
      <c r="C128" s="4"/>
      <c r="E128"/>
      <c r="F128"/>
      <c r="G128" s="11"/>
      <c r="H128" s="9"/>
      <c r="P128" s="3"/>
      <c r="Q128" s="11"/>
      <c r="R128"/>
      <c r="S128"/>
      <c r="T128"/>
      <c r="U128"/>
      <c r="V128"/>
      <c r="W128"/>
      <c r="X128"/>
    </row>
    <row r="129" spans="1:24" s="7" customFormat="1" x14ac:dyDescent="0.3">
      <c r="A129"/>
      <c r="B129" s="4"/>
      <c r="C129" s="4"/>
      <c r="E129"/>
      <c r="F129"/>
      <c r="G129" s="11"/>
      <c r="H129" s="9"/>
      <c r="P129" s="3"/>
      <c r="Q129" s="11"/>
      <c r="R129"/>
      <c r="S129"/>
      <c r="T129"/>
      <c r="U129"/>
      <c r="V129"/>
      <c r="W129"/>
      <c r="X129"/>
    </row>
    <row r="130" spans="1:24" s="7" customFormat="1" x14ac:dyDescent="0.3">
      <c r="A130"/>
      <c r="B130" s="4"/>
      <c r="C130" s="4"/>
      <c r="E130"/>
      <c r="F130"/>
      <c r="G130" s="11"/>
      <c r="H130" s="9"/>
      <c r="P130" s="3"/>
      <c r="Q130" s="11"/>
      <c r="R130"/>
      <c r="S130"/>
      <c r="T130"/>
      <c r="U130"/>
      <c r="V130"/>
      <c r="W130"/>
      <c r="X130"/>
    </row>
    <row r="131" spans="1:24" s="7" customFormat="1" x14ac:dyDescent="0.3">
      <c r="A131"/>
      <c r="B131" s="4"/>
      <c r="C131" s="4"/>
      <c r="E131"/>
      <c r="F131"/>
      <c r="G131" s="11"/>
      <c r="H131" s="9"/>
      <c r="P131" s="3"/>
      <c r="Q131" s="11"/>
      <c r="R131"/>
      <c r="S131"/>
      <c r="T131"/>
      <c r="U131"/>
      <c r="V131"/>
      <c r="W131"/>
      <c r="X131"/>
    </row>
    <row r="132" spans="1:24" s="7" customFormat="1" x14ac:dyDescent="0.3">
      <c r="A132"/>
      <c r="B132" s="4"/>
      <c r="C132" s="4"/>
      <c r="E132"/>
      <c r="F132"/>
      <c r="G132" s="11"/>
      <c r="H132" s="9"/>
      <c r="P132" s="3"/>
      <c r="Q132" s="11"/>
      <c r="R132"/>
      <c r="S132"/>
      <c r="T132"/>
      <c r="U132"/>
      <c r="V132"/>
      <c r="W132"/>
      <c r="X132"/>
    </row>
    <row r="133" spans="1:24" s="7" customFormat="1" x14ac:dyDescent="0.3">
      <c r="A133"/>
      <c r="B133" s="4"/>
      <c r="C133" s="4"/>
      <c r="E133"/>
      <c r="F133"/>
      <c r="G133" s="11"/>
      <c r="H133" s="9"/>
      <c r="P133" s="3"/>
      <c r="Q133" s="11"/>
      <c r="R133"/>
      <c r="S133"/>
      <c r="T133"/>
      <c r="U133"/>
      <c r="V133"/>
      <c r="W133"/>
      <c r="X133"/>
    </row>
    <row r="134" spans="1:24" s="7" customFormat="1" x14ac:dyDescent="0.3">
      <c r="A134"/>
      <c r="B134" s="4"/>
      <c r="C134" s="4"/>
      <c r="E134"/>
      <c r="F134"/>
      <c r="G134" s="11"/>
      <c r="H134" s="9"/>
      <c r="P134" s="3"/>
      <c r="Q134" s="11"/>
      <c r="R134"/>
      <c r="S134"/>
      <c r="T134"/>
      <c r="U134"/>
      <c r="V134"/>
      <c r="W134"/>
      <c r="X134"/>
    </row>
    <row r="135" spans="1:24" s="7" customFormat="1" x14ac:dyDescent="0.3">
      <c r="A135"/>
      <c r="B135" s="4"/>
      <c r="C135" s="4"/>
      <c r="E135"/>
      <c r="F135"/>
      <c r="G135" s="11"/>
      <c r="H135" s="9"/>
      <c r="P135" s="3"/>
      <c r="Q135" s="11"/>
      <c r="R135"/>
      <c r="S135"/>
      <c r="T135"/>
      <c r="U135"/>
      <c r="V135"/>
      <c r="W135"/>
      <c r="X135"/>
    </row>
    <row r="136" spans="1:24" s="7" customFormat="1" x14ac:dyDescent="0.3">
      <c r="A136"/>
      <c r="B136" s="4"/>
      <c r="C136" s="4"/>
      <c r="E136"/>
      <c r="F136"/>
      <c r="G136" s="11"/>
      <c r="H136" s="9"/>
      <c r="P136" s="3"/>
      <c r="Q136" s="11"/>
      <c r="R136"/>
      <c r="S136"/>
      <c r="T136"/>
      <c r="U136"/>
      <c r="V136"/>
      <c r="W136"/>
      <c r="X136"/>
    </row>
    <row r="137" spans="1:24" s="7" customFormat="1" x14ac:dyDescent="0.3">
      <c r="A137"/>
      <c r="B137" s="4"/>
      <c r="C137" s="4"/>
      <c r="E137"/>
      <c r="F137"/>
      <c r="G137" s="11"/>
      <c r="H137" s="9"/>
      <c r="P137" s="3"/>
      <c r="Q137" s="11"/>
      <c r="R137"/>
      <c r="S137"/>
      <c r="T137"/>
      <c r="U137"/>
      <c r="V137"/>
      <c r="W137"/>
      <c r="X137"/>
    </row>
    <row r="138" spans="1:24" s="7" customFormat="1" x14ac:dyDescent="0.3">
      <c r="A138"/>
      <c r="B138" s="4"/>
      <c r="C138" s="4"/>
      <c r="E138"/>
      <c r="F138"/>
      <c r="G138" s="11"/>
      <c r="H138" s="9"/>
      <c r="P138" s="3"/>
      <c r="Q138" s="11"/>
      <c r="R138"/>
      <c r="S138"/>
      <c r="T138"/>
      <c r="U138"/>
      <c r="V138"/>
      <c r="W138"/>
      <c r="X138"/>
    </row>
  </sheetData>
  <phoneticPr fontId="2" type="noConversion"/>
  <conditionalFormatting sqref="P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3B4A-70A7-4CC6-B1A6-13D68AA58FEF}">
  <sheetPr codeName="Tabelle17"/>
  <dimension ref="A1:AE201"/>
  <sheetViews>
    <sheetView topLeftCell="A173" zoomScale="64" workbookViewId="0">
      <selection activeCell="C199" sqref="C199"/>
    </sheetView>
  </sheetViews>
  <sheetFormatPr baseColWidth="10" defaultRowHeight="14.4" x14ac:dyDescent="0.3"/>
  <cols>
    <col min="1" max="1" width="5.33203125" customWidth="1"/>
    <col min="2" max="2" width="11.33203125" customWidth="1"/>
    <col min="3" max="3" width="15.109375" customWidth="1"/>
    <col min="4" max="4" width="11.5546875" style="7"/>
    <col min="6" max="6" width="16.88671875" customWidth="1"/>
    <col min="7" max="7" width="17.88671875" style="7" customWidth="1"/>
    <col min="8" max="8" width="18" style="11" customWidth="1"/>
    <col min="9" max="9" width="18.33203125" style="9" customWidth="1"/>
    <col min="10" max="10" width="16.33203125" style="7" customWidth="1"/>
    <col min="11" max="11" width="18.44140625" style="7" customWidth="1"/>
    <col min="12" max="12" width="17.21875" style="7" customWidth="1"/>
    <col min="13" max="15" width="15" style="7" customWidth="1"/>
    <col min="16" max="16" width="15.44140625" style="7" customWidth="1"/>
    <col min="17" max="17" width="34.33203125" style="3" customWidth="1"/>
    <col min="18" max="18" width="22.6640625" style="11" customWidth="1"/>
    <col min="19" max="21" width="28.77734375" customWidth="1"/>
    <col min="22" max="22" width="61.109375" customWidth="1"/>
    <col min="23" max="25" width="19.109375" customWidth="1"/>
  </cols>
  <sheetData>
    <row r="1" spans="1:31" x14ac:dyDescent="0.3">
      <c r="A1" s="1" t="s">
        <v>10</v>
      </c>
      <c r="B1" s="1" t="s">
        <v>0</v>
      </c>
      <c r="C1" s="1" t="s">
        <v>13</v>
      </c>
      <c r="D1" s="6" t="s">
        <v>176</v>
      </c>
      <c r="E1" s="1" t="s">
        <v>6</v>
      </c>
      <c r="F1" t="s">
        <v>177</v>
      </c>
      <c r="G1" s="6" t="s">
        <v>178</v>
      </c>
      <c r="H1" s="10" t="s">
        <v>14</v>
      </c>
      <c r="I1" s="8" t="s">
        <v>3</v>
      </c>
      <c r="J1" s="6" t="s">
        <v>2</v>
      </c>
      <c r="K1" s="6" t="s">
        <v>40</v>
      </c>
      <c r="L1" s="6" t="s">
        <v>8</v>
      </c>
      <c r="M1" s="6" t="s">
        <v>4</v>
      </c>
      <c r="N1" s="6" t="s">
        <v>42</v>
      </c>
      <c r="O1" s="6" t="s">
        <v>43</v>
      </c>
      <c r="P1" s="6" t="s">
        <v>9</v>
      </c>
      <c r="Q1" s="2" t="s">
        <v>7</v>
      </c>
      <c r="R1" s="13" t="s">
        <v>41</v>
      </c>
      <c r="S1" s="8" t="s">
        <v>44</v>
      </c>
      <c r="T1" s="8" t="s">
        <v>45</v>
      </c>
      <c r="U1" s="8" t="s">
        <v>46</v>
      </c>
      <c r="V1" s="8" t="s">
        <v>47</v>
      </c>
      <c r="W1" s="6" t="s">
        <v>48</v>
      </c>
      <c r="X1" s="6" t="s">
        <v>49</v>
      </c>
      <c r="Y1" s="6" t="s">
        <v>50</v>
      </c>
      <c r="Z1" s="6" t="s">
        <v>179</v>
      </c>
      <c r="AA1" s="6" t="s">
        <v>180</v>
      </c>
      <c r="AB1" s="6" t="s">
        <v>181</v>
      </c>
      <c r="AC1" s="6" t="s">
        <v>143</v>
      </c>
      <c r="AD1" s="6" t="s">
        <v>144</v>
      </c>
      <c r="AE1" s="6" t="s">
        <v>145</v>
      </c>
    </row>
    <row r="2" spans="1:31" x14ac:dyDescent="0.3">
      <c r="A2">
        <v>1</v>
      </c>
      <c r="B2" s="4"/>
      <c r="C2" s="5"/>
      <c r="D2" s="7">
        <v>1</v>
      </c>
      <c r="E2" t="s">
        <v>182</v>
      </c>
      <c r="F2" t="s">
        <v>175</v>
      </c>
      <c r="G2" s="23"/>
      <c r="H2" s="12" t="s">
        <v>160</v>
      </c>
      <c r="I2" s="9" t="s">
        <v>12</v>
      </c>
      <c r="J2" s="7">
        <v>22.5</v>
      </c>
      <c r="K2" s="7">
        <v>10</v>
      </c>
      <c r="L2" s="7">
        <v>29.76</v>
      </c>
      <c r="M2" s="7">
        <v>372</v>
      </c>
      <c r="N2" s="7">
        <f>[1]!Tabelle1325[[#This Row],[Anzahl Frames]]/[1]!Tabelle1325[[#This Row],[Aufnahmezeit '[s']]]</f>
        <v>12.629043358568479</v>
      </c>
      <c r="O2" s="6">
        <f>1/[1]!Tabelle1325[[#This Row],[Mean fps ]]</f>
        <v>7.9182561307901911E-2</v>
      </c>
      <c r="S2" s="7">
        <v>1.7090000000000001</v>
      </c>
      <c r="T2" s="7">
        <v>1.4650000000000001</v>
      </c>
      <c r="U2" s="7">
        <v>1.708</v>
      </c>
      <c r="V2" s="7"/>
      <c r="W2" s="7"/>
      <c r="X2" s="7"/>
      <c r="Y2" s="7"/>
      <c r="Z2" s="7"/>
      <c r="AA2" s="7"/>
      <c r="AB2" s="7"/>
      <c r="AC2" s="7" t="e">
        <f>Tabelle1321011121517[[#This Row],[SD 1]]/Tabelle1321011121517[[#This Row],[Mean Visc. 1 '[mPas']]]</f>
        <v>#DIV/0!</v>
      </c>
      <c r="AD2" s="7" t="e">
        <f>[1]!Tabelle1325[[#This Row],[SD 2]]/[1]!Tabelle1325[[#This Row],[Mean Visc. 2 '[mPas']2]]</f>
        <v>#DIV/0!</v>
      </c>
      <c r="AE2" s="7" t="e">
        <f>[1]!Tabelle1325[[#This Row],[SD 3]]/[1]!Tabelle1325[[#This Row],[Mean Visc. 3 '[mPas']3]]</f>
        <v>#DIV/0!</v>
      </c>
    </row>
    <row r="3" spans="1:31" x14ac:dyDescent="0.3">
      <c r="A3">
        <v>2</v>
      </c>
      <c r="B3" s="4"/>
      <c r="C3" s="5"/>
      <c r="D3" s="7">
        <v>1</v>
      </c>
      <c r="E3" t="str">
        <f>$E$2</f>
        <v>HL0326</v>
      </c>
      <c r="F3" t="s">
        <v>175</v>
      </c>
      <c r="G3" s="23"/>
      <c r="H3" s="12" t="s">
        <v>160</v>
      </c>
      <c r="I3" s="9" t="s">
        <v>12</v>
      </c>
      <c r="J3" s="7">
        <v>22.5</v>
      </c>
      <c r="K3" s="7">
        <v>10</v>
      </c>
      <c r="L3" s="7">
        <v>31.44</v>
      </c>
      <c r="M3" s="7">
        <v>393</v>
      </c>
      <c r="N3" s="7">
        <f>[1]!Tabelle1325[[#This Row],[Anzahl Frames]]/[1]!Tabelle1325[[#This Row],[Aufnahmezeit '[s']]]</f>
        <v>12.5</v>
      </c>
      <c r="O3" s="6">
        <f>1/[1]!Tabelle1325[[#This Row],[Mean fps ]]</f>
        <v>0.08</v>
      </c>
      <c r="S3" s="7">
        <v>1.677</v>
      </c>
      <c r="T3" s="7">
        <v>1.3520000000000001</v>
      </c>
      <c r="U3" s="7">
        <v>1.8140000000000001</v>
      </c>
      <c r="V3" s="7"/>
      <c r="W3" s="7"/>
      <c r="X3" s="7"/>
      <c r="Y3" s="7"/>
      <c r="Z3" s="7"/>
      <c r="AA3" s="7"/>
      <c r="AB3" s="7"/>
      <c r="AC3" s="7" t="e">
        <f>Tabelle1321011121517[[#This Row],[SD 1]]/Tabelle1321011121517[[#This Row],[Mean Visc. 1 '[mPas']]]</f>
        <v>#DIV/0!</v>
      </c>
      <c r="AD3" s="7" t="e">
        <f>[1]!Tabelle1325[[#This Row],[SD 2]]/[1]!Tabelle1325[[#This Row],[Mean Visc. 2 '[mPas']2]]</f>
        <v>#DIV/0!</v>
      </c>
      <c r="AE3" s="7" t="e">
        <f>[1]!Tabelle1325[[#This Row],[SD 3]]/[1]!Tabelle1325[[#This Row],[Mean Visc. 3 '[mPas']3]]</f>
        <v>#DIV/0!</v>
      </c>
    </row>
    <row r="4" spans="1:31" x14ac:dyDescent="0.3">
      <c r="A4">
        <v>3</v>
      </c>
      <c r="B4" s="4"/>
      <c r="C4" s="5"/>
      <c r="D4" s="7">
        <v>1</v>
      </c>
      <c r="E4" t="str">
        <f t="shared" ref="E4:E21" si="0">$E$2</f>
        <v>HL0326</v>
      </c>
      <c r="F4" t="s">
        <v>175</v>
      </c>
      <c r="G4" s="23"/>
      <c r="H4" s="12" t="s">
        <v>160</v>
      </c>
      <c r="I4" s="9" t="s">
        <v>12</v>
      </c>
      <c r="J4" s="7">
        <v>22.4</v>
      </c>
      <c r="K4" s="7">
        <v>10</v>
      </c>
      <c r="L4" s="7">
        <v>31.92</v>
      </c>
      <c r="M4" s="7">
        <v>399</v>
      </c>
      <c r="N4" s="7">
        <f>[1]!Tabelle1325[[#This Row],[Anzahl Frames]]/[1]!Tabelle1325[[#This Row],[Aufnahmezeit '[s']]]</f>
        <v>12.531887755102041</v>
      </c>
      <c r="O4" s="6">
        <f>1/[1]!Tabelle1325[[#This Row],[Mean fps ]]</f>
        <v>7.9796437659033076E-2</v>
      </c>
      <c r="S4" s="7">
        <v>1.657</v>
      </c>
      <c r="T4" s="7">
        <v>1.2170000000000001</v>
      </c>
      <c r="U4" s="7">
        <v>0.97899999999999998</v>
      </c>
      <c r="V4" s="7"/>
      <c r="W4" s="7"/>
      <c r="X4" s="7"/>
      <c r="Y4" s="7"/>
      <c r="Z4" s="7"/>
      <c r="AA4" s="7"/>
      <c r="AB4" s="7"/>
      <c r="AC4" s="7" t="e">
        <f>Tabelle1321011121517[[#This Row],[SD 1]]/Tabelle1321011121517[[#This Row],[Mean Visc. 1 '[mPas']]]</f>
        <v>#DIV/0!</v>
      </c>
      <c r="AD4" s="7" t="e">
        <f>[1]!Tabelle1325[[#This Row],[SD 2]]/[1]!Tabelle1325[[#This Row],[Mean Visc. 2 '[mPas']2]]</f>
        <v>#DIV/0!</v>
      </c>
      <c r="AE4" s="7" t="e">
        <f>[1]!Tabelle1325[[#This Row],[SD 3]]/[1]!Tabelle1325[[#This Row],[Mean Visc. 3 '[mPas']3]]</f>
        <v>#DIV/0!</v>
      </c>
    </row>
    <row r="5" spans="1:31" x14ac:dyDescent="0.3">
      <c r="A5">
        <v>4</v>
      </c>
      <c r="B5" s="4"/>
      <c r="C5" s="5"/>
      <c r="D5" s="7">
        <v>1</v>
      </c>
      <c r="E5" t="str">
        <f t="shared" si="0"/>
        <v>HL0326</v>
      </c>
      <c r="F5" t="s">
        <v>175</v>
      </c>
      <c r="G5" s="23"/>
      <c r="H5" s="12" t="s">
        <v>160</v>
      </c>
      <c r="I5" s="9" t="s">
        <v>12</v>
      </c>
      <c r="J5" s="7">
        <v>22.6</v>
      </c>
      <c r="K5" s="7">
        <v>10</v>
      </c>
      <c r="L5" s="7">
        <v>32.479999999999997</v>
      </c>
      <c r="M5" s="7">
        <v>406</v>
      </c>
      <c r="N5" s="7">
        <f>[1]!Tabelle1325[[#This Row],[Anzahl Frames]]/[1]!Tabelle1325[[#This Row],[Aufnahmezeit '[s']]]</f>
        <v>12.5</v>
      </c>
      <c r="O5" s="6">
        <f>1/[1]!Tabelle1325[[#This Row],[Mean fps ]]</f>
        <v>0.08</v>
      </c>
      <c r="S5" s="7">
        <v>1.32</v>
      </c>
      <c r="T5" s="7">
        <v>0.93899999999999995</v>
      </c>
      <c r="U5" s="7">
        <v>0.76100000000000001</v>
      </c>
      <c r="V5" s="7"/>
      <c r="W5" s="7"/>
      <c r="X5" s="7"/>
      <c r="Y5" s="7"/>
      <c r="Z5" s="7"/>
      <c r="AA5" s="7"/>
      <c r="AB5" s="7"/>
      <c r="AC5" s="7" t="e">
        <f>Tabelle1321011121517[[#This Row],[SD 1]]/Tabelle1321011121517[[#This Row],[Mean Visc. 1 '[mPas']]]</f>
        <v>#DIV/0!</v>
      </c>
      <c r="AD5" s="7" t="e">
        <f>[1]!Tabelle1325[[#This Row],[SD 2]]/[1]!Tabelle1325[[#This Row],[Mean Visc. 2 '[mPas']2]]</f>
        <v>#DIV/0!</v>
      </c>
      <c r="AE5" s="7" t="e">
        <f>[1]!Tabelle1325[[#This Row],[SD 3]]/[1]!Tabelle1325[[#This Row],[Mean Visc. 3 '[mPas']3]]</f>
        <v>#DIV/0!</v>
      </c>
    </row>
    <row r="6" spans="1:31" s="14" customFormat="1" ht="15" thickBot="1" x14ac:dyDescent="0.35">
      <c r="A6" s="14">
        <v>5</v>
      </c>
      <c r="B6" s="15"/>
      <c r="C6" s="16"/>
      <c r="D6" s="17">
        <v>1</v>
      </c>
      <c r="E6" t="str">
        <f t="shared" si="0"/>
        <v>HL0326</v>
      </c>
      <c r="F6" t="s">
        <v>175</v>
      </c>
      <c r="G6" s="24"/>
      <c r="H6" s="12" t="s">
        <v>160</v>
      </c>
      <c r="I6" s="9" t="s">
        <v>12</v>
      </c>
      <c r="J6" s="17">
        <v>22.3</v>
      </c>
      <c r="K6" s="17">
        <v>10</v>
      </c>
      <c r="L6" s="17">
        <v>30.08</v>
      </c>
      <c r="M6" s="17">
        <v>376</v>
      </c>
      <c r="N6" s="17">
        <f>[1]!Tabelle1325[[#This Row],[Anzahl Frames]]/[1]!Tabelle1325[[#This Row],[Aufnahmezeit '[s']]]</f>
        <v>12.5</v>
      </c>
      <c r="O6" s="25">
        <f>1/[1]!Tabelle1325[[#This Row],[Mean fps ]]</f>
        <v>0.08</v>
      </c>
      <c r="P6" s="17"/>
      <c r="Q6" s="20"/>
      <c r="R6" s="21"/>
      <c r="S6" s="17">
        <v>1.643</v>
      </c>
      <c r="T6" s="17">
        <v>1.4390000000000001</v>
      </c>
      <c r="U6" s="17">
        <v>1.7250000000000001</v>
      </c>
      <c r="V6" s="17"/>
      <c r="W6" s="17"/>
      <c r="X6" s="17"/>
      <c r="Y6" s="17"/>
      <c r="Z6" s="17"/>
      <c r="AA6" s="17"/>
      <c r="AB6" s="17"/>
      <c r="AC6" s="17" t="e">
        <f>Tabelle1321011121517[[#This Row],[SD 1]]/Tabelle1321011121517[[#This Row],[Mean Visc. 1 '[mPas']]]</f>
        <v>#DIV/0!</v>
      </c>
      <c r="AD6" s="17" t="e">
        <f>[1]!Tabelle1325[[#This Row],[SD 2]]/[1]!Tabelle1325[[#This Row],[Mean Visc. 2 '[mPas']2]]</f>
        <v>#DIV/0!</v>
      </c>
      <c r="AE6" s="17" t="e">
        <f>[1]!Tabelle1325[[#This Row],[SD 3]]/[1]!Tabelle1325[[#This Row],[Mean Visc. 3 '[mPas']3]]</f>
        <v>#DIV/0!</v>
      </c>
    </row>
    <row r="7" spans="1:31" ht="15" thickTop="1" x14ac:dyDescent="0.3">
      <c r="A7">
        <v>6</v>
      </c>
      <c r="B7" s="4"/>
      <c r="C7" s="5"/>
      <c r="D7" s="7">
        <v>1</v>
      </c>
      <c r="E7" t="str">
        <f t="shared" si="0"/>
        <v>HL0326</v>
      </c>
      <c r="F7" t="s">
        <v>175</v>
      </c>
      <c r="G7" s="23"/>
      <c r="H7" s="12" t="s">
        <v>160</v>
      </c>
      <c r="I7" s="9" t="s">
        <v>12</v>
      </c>
      <c r="J7" s="7">
        <v>22.2</v>
      </c>
      <c r="K7" s="7">
        <v>10</v>
      </c>
      <c r="L7" s="7">
        <v>31.14</v>
      </c>
      <c r="M7" s="7">
        <v>389</v>
      </c>
      <c r="N7" s="7">
        <f>[1]!Tabelle1325[[#This Row],[Anzahl Frames]]/[1]!Tabelle1325[[#This Row],[Aufnahmezeit '[s']]]</f>
        <v>12.5</v>
      </c>
      <c r="O7" s="6">
        <f>1/[1]!Tabelle1325[[#This Row],[Mean fps ]]</f>
        <v>0.08</v>
      </c>
      <c r="S7" s="7">
        <v>1.6779999999999999</v>
      </c>
      <c r="T7" s="7">
        <v>1.3640000000000001</v>
      </c>
      <c r="U7" s="7">
        <v>1.9</v>
      </c>
      <c r="V7" s="7"/>
      <c r="W7" s="7"/>
      <c r="X7" s="7"/>
      <c r="Y7" s="7"/>
      <c r="Z7" s="7"/>
      <c r="AA7" s="7"/>
      <c r="AB7" s="7"/>
      <c r="AC7" s="7" t="e">
        <f>Tabelle1321011121517[[#This Row],[SD 1]]/Tabelle1321011121517[[#This Row],[Mean Visc. 1 '[mPas']]]</f>
        <v>#DIV/0!</v>
      </c>
      <c r="AD7" s="7" t="e">
        <f>[1]!Tabelle1325[[#This Row],[SD 2]]/[1]!Tabelle1325[[#This Row],[Mean Visc. 2 '[mPas']2]]</f>
        <v>#DIV/0!</v>
      </c>
      <c r="AE7" s="7" t="e">
        <f>[1]!Tabelle1325[[#This Row],[SD 3]]/[1]!Tabelle1325[[#This Row],[Mean Visc. 3 '[mPas']3]]</f>
        <v>#DIV/0!</v>
      </c>
    </row>
    <row r="8" spans="1:31" x14ac:dyDescent="0.3">
      <c r="A8">
        <v>7</v>
      </c>
      <c r="B8" s="4"/>
      <c r="C8" s="5"/>
      <c r="D8" s="7">
        <v>1</v>
      </c>
      <c r="E8" t="str">
        <f t="shared" si="0"/>
        <v>HL0326</v>
      </c>
      <c r="F8" t="s">
        <v>175</v>
      </c>
      <c r="G8" s="23"/>
      <c r="H8" s="12" t="s">
        <v>160</v>
      </c>
      <c r="I8" s="9" t="s">
        <v>12</v>
      </c>
      <c r="J8" s="7">
        <v>22.3</v>
      </c>
      <c r="K8" s="7">
        <v>10</v>
      </c>
      <c r="L8" s="7">
        <v>33.119999999999997</v>
      </c>
      <c r="M8" s="7">
        <v>415</v>
      </c>
      <c r="N8" s="7">
        <f>[1]!Tabelle1325[[#This Row],[Anzahl Frames]]/[1]!Tabelle1325[[#This Row],[Aufnahmezeit '[s']]]</f>
        <v>12.5</v>
      </c>
      <c r="O8" s="6">
        <f>1/[1]!Tabelle1325[[#This Row],[Mean fps ]]</f>
        <v>0.08</v>
      </c>
      <c r="S8" s="7">
        <v>2.1869999999999998</v>
      </c>
      <c r="T8" s="7">
        <v>1.766</v>
      </c>
      <c r="U8" s="7">
        <v>2.3370000000000002</v>
      </c>
      <c r="V8" s="7"/>
      <c r="W8" s="7"/>
      <c r="X8" s="7"/>
      <c r="Y8" s="7"/>
      <c r="Z8" s="7"/>
      <c r="AA8" s="7"/>
      <c r="AB8" s="7"/>
      <c r="AC8" s="7" t="e">
        <f>Tabelle1321011121517[[#This Row],[SD 1]]/Tabelle1321011121517[[#This Row],[Mean Visc. 1 '[mPas']]]</f>
        <v>#DIV/0!</v>
      </c>
      <c r="AD8" s="7" t="e">
        <f>[1]!Tabelle1325[[#This Row],[SD 2]]/[1]!Tabelle1325[[#This Row],[Mean Visc. 2 '[mPas']2]]</f>
        <v>#DIV/0!</v>
      </c>
      <c r="AE8" s="7" t="e">
        <f>[1]!Tabelle1325[[#This Row],[SD 3]]/[1]!Tabelle1325[[#This Row],[Mean Visc. 3 '[mPas']3]]</f>
        <v>#DIV/0!</v>
      </c>
    </row>
    <row r="9" spans="1:31" x14ac:dyDescent="0.3">
      <c r="A9">
        <v>8</v>
      </c>
      <c r="B9" s="4"/>
      <c r="C9" s="5"/>
      <c r="D9" s="7">
        <v>1</v>
      </c>
      <c r="E9" t="str">
        <f t="shared" si="0"/>
        <v>HL0326</v>
      </c>
      <c r="F9" t="s">
        <v>175</v>
      </c>
      <c r="G9" s="23"/>
      <c r="H9" s="12" t="s">
        <v>160</v>
      </c>
      <c r="I9" s="9" t="s">
        <v>12</v>
      </c>
      <c r="J9" s="7">
        <v>22.3</v>
      </c>
      <c r="K9" s="7">
        <v>10</v>
      </c>
      <c r="L9" s="7">
        <v>30.38</v>
      </c>
      <c r="M9" s="7">
        <v>380</v>
      </c>
      <c r="N9" s="7">
        <f>[1]!Tabelle1325[[#This Row],[Anzahl Frames]]/[1]!Tabelle1325[[#This Row],[Aufnahmezeit '[s']]]</f>
        <v>12.5</v>
      </c>
      <c r="O9" s="6">
        <f>1/[1]!Tabelle1325[[#This Row],[Mean fps ]]</f>
        <v>0.08</v>
      </c>
      <c r="S9" s="7">
        <v>1.5660000000000001</v>
      </c>
      <c r="T9" s="7">
        <v>1.3160000000000001</v>
      </c>
      <c r="U9" s="7">
        <v>1.427</v>
      </c>
      <c r="V9" s="7"/>
      <c r="W9" s="7"/>
      <c r="X9" s="7"/>
      <c r="Y9" s="7"/>
      <c r="Z9" s="7"/>
      <c r="AA9" s="7"/>
      <c r="AB9" s="7"/>
      <c r="AC9" s="7" t="e">
        <f>Tabelle1321011121517[[#This Row],[SD 1]]/Tabelle1321011121517[[#This Row],[Mean Visc. 1 '[mPas']]]</f>
        <v>#DIV/0!</v>
      </c>
      <c r="AD9" s="7" t="e">
        <f>[1]!Tabelle1325[[#This Row],[SD 2]]/[1]!Tabelle1325[[#This Row],[Mean Visc. 2 '[mPas']2]]</f>
        <v>#DIV/0!</v>
      </c>
      <c r="AE9" s="7" t="e">
        <f>[1]!Tabelle1325[[#This Row],[SD 3]]/[1]!Tabelle1325[[#This Row],[Mean Visc. 3 '[mPas']3]]</f>
        <v>#DIV/0!</v>
      </c>
    </row>
    <row r="10" spans="1:31" x14ac:dyDescent="0.3">
      <c r="A10">
        <v>9</v>
      </c>
      <c r="B10" s="4"/>
      <c r="C10" s="5"/>
      <c r="D10" s="7">
        <v>1</v>
      </c>
      <c r="E10" t="str">
        <f t="shared" si="0"/>
        <v>HL0326</v>
      </c>
      <c r="F10" t="s">
        <v>175</v>
      </c>
      <c r="G10" s="23"/>
      <c r="H10" s="12" t="s">
        <v>160</v>
      </c>
      <c r="I10" s="9" t="s">
        <v>12</v>
      </c>
      <c r="J10" s="7">
        <v>22.3</v>
      </c>
      <c r="K10" s="7">
        <v>10</v>
      </c>
      <c r="L10" s="7">
        <v>31.04</v>
      </c>
      <c r="M10" s="7">
        <v>388</v>
      </c>
      <c r="N10" s="7">
        <f>[1]!Tabelle1325[[#This Row],[Anzahl Frames]]/[1]!Tabelle1325[[#This Row],[Aufnahmezeit '[s']]]</f>
        <v>12.5</v>
      </c>
      <c r="O10" s="6">
        <f>1/[1]!Tabelle1325[[#This Row],[Mean fps ]]</f>
        <v>0.08</v>
      </c>
      <c r="S10" s="7">
        <v>1.6519999999999999</v>
      </c>
      <c r="T10" s="7">
        <v>1.67</v>
      </c>
      <c r="U10" s="7">
        <v>2.0710000000000002</v>
      </c>
      <c r="V10" s="7"/>
      <c r="W10" s="7"/>
      <c r="X10" s="7"/>
      <c r="Y10" s="7"/>
      <c r="Z10" s="7"/>
      <c r="AA10" s="7"/>
      <c r="AB10" s="7"/>
      <c r="AC10" s="7" t="e">
        <f>Tabelle1321011121517[[#This Row],[SD 1]]/Tabelle1321011121517[[#This Row],[Mean Visc. 1 '[mPas']]]</f>
        <v>#DIV/0!</v>
      </c>
      <c r="AD10" s="7" t="e">
        <f>[1]!Tabelle1325[[#This Row],[SD 2]]/[1]!Tabelle1325[[#This Row],[Mean Visc. 2 '[mPas']2]]</f>
        <v>#DIV/0!</v>
      </c>
      <c r="AE10" s="7" t="e">
        <f>[1]!Tabelle1325[[#This Row],[SD 3]]/[1]!Tabelle1325[[#This Row],[Mean Visc. 3 '[mPas']3]]</f>
        <v>#DIV/0!</v>
      </c>
    </row>
    <row r="11" spans="1:31" s="14" customFormat="1" ht="15" thickBot="1" x14ac:dyDescent="0.35">
      <c r="A11" s="14">
        <v>10</v>
      </c>
      <c r="B11" s="15"/>
      <c r="C11" s="16"/>
      <c r="D11" s="17">
        <v>1</v>
      </c>
      <c r="E11" t="str">
        <f t="shared" si="0"/>
        <v>HL0326</v>
      </c>
      <c r="F11" t="s">
        <v>175</v>
      </c>
      <c r="G11" s="24"/>
      <c r="H11" s="12" t="s">
        <v>160</v>
      </c>
      <c r="I11" s="9" t="s">
        <v>12</v>
      </c>
      <c r="J11" s="17">
        <v>22.4</v>
      </c>
      <c r="K11" s="17">
        <v>10</v>
      </c>
      <c r="L11" s="17">
        <v>31.2</v>
      </c>
      <c r="M11" s="17">
        <v>390</v>
      </c>
      <c r="N11" s="17">
        <f>[1]!Tabelle1325[[#This Row],[Anzahl Frames]]/[1]!Tabelle1325[[#This Row],[Aufnahmezeit '[s']]]</f>
        <v>12.531969309462916</v>
      </c>
      <c r="O11" s="25">
        <f>1/[1]!Tabelle1325[[#This Row],[Mean fps ]]</f>
        <v>7.9795918367346938E-2</v>
      </c>
      <c r="P11" s="17"/>
      <c r="Q11" s="20"/>
      <c r="R11" s="21"/>
      <c r="S11" s="17">
        <v>1.5960000000000001</v>
      </c>
      <c r="T11" s="17">
        <v>1.2749999999999999</v>
      </c>
      <c r="U11" s="17">
        <v>1.2150000000000001</v>
      </c>
      <c r="V11" s="17"/>
      <c r="W11" s="7">
        <f>SUM(S2:S11)/10</f>
        <v>1.6685000000000003</v>
      </c>
      <c r="X11" s="7">
        <f t="shared" ref="X11" si="1">SUM(T2:T11)/10</f>
        <v>1.3803000000000003</v>
      </c>
      <c r="Y11" s="7">
        <f t="shared" ref="Y11" si="2">SUM(U2:U11)/10</f>
        <v>1.5936999999999999</v>
      </c>
      <c r="Z11" s="17">
        <f>_xlfn.STDEV.S(S2:S11)</f>
        <v>0.2131547429555426</v>
      </c>
      <c r="AA11" s="17">
        <f>_xlfn.STDEV.S(T2:T11)</f>
        <v>0.23118345288728648</v>
      </c>
      <c r="AB11" s="17">
        <f>_xlfn.STDEV.S(U2:U11)</f>
        <v>0.4938976614643974</v>
      </c>
      <c r="AC11" s="17">
        <f>Tabelle1321011121517[[#This Row],[SD 1]]/Tabelle1321011121517[[#This Row],[Mean Visc. 1 '[mPas']]]</f>
        <v>0.12775231822327993</v>
      </c>
      <c r="AD11" s="17">
        <f>Tabelle1321011121517[[#This Row],[SD 2]]/Tabelle1321011121517[[#This Row],[Mean Visc. 2 '[mPas']2]]</f>
        <v>0.16748783082466595</v>
      </c>
      <c r="AE11" s="17">
        <f>Tabelle1321011121517[[#This Row],[SD 3]]/Tabelle1321011121517[[#This Row],[Mean Visc. 3 '[mPas']3]]</f>
        <v>0.30990629444964385</v>
      </c>
    </row>
    <row r="12" spans="1:31" ht="15" thickTop="1" x14ac:dyDescent="0.3">
      <c r="A12">
        <v>11</v>
      </c>
      <c r="B12" s="4"/>
      <c r="C12" s="5"/>
      <c r="D12" s="7">
        <v>1</v>
      </c>
      <c r="E12" t="str">
        <f t="shared" si="0"/>
        <v>HL0326</v>
      </c>
      <c r="F12" t="s">
        <v>175</v>
      </c>
      <c r="G12" s="23"/>
      <c r="H12" s="12" t="s">
        <v>185</v>
      </c>
      <c r="I12" s="9" t="s">
        <v>12</v>
      </c>
      <c r="J12" s="7">
        <v>24.5</v>
      </c>
      <c r="K12" s="7">
        <v>10</v>
      </c>
      <c r="L12" s="7">
        <v>30.14</v>
      </c>
      <c r="M12" s="7">
        <v>377</v>
      </c>
      <c r="N12" s="7">
        <f>[1]!Tabelle1325[[#This Row],[Anzahl Frames]]/[1]!Tabelle1325[[#This Row],[Aufnahmezeit '[s']]]</f>
        <v>12.491760052735662</v>
      </c>
      <c r="O12" s="6">
        <f>1/[1]!Tabelle1325[[#This Row],[Mean fps ]]</f>
        <v>8.0052770448548818E-2</v>
      </c>
      <c r="S12" s="7">
        <v>1.0329999999999999</v>
      </c>
      <c r="T12" s="7">
        <v>0.92100000000000004</v>
      </c>
      <c r="U12" s="7">
        <v>1.5349999999999999</v>
      </c>
      <c r="V12" s="7"/>
      <c r="W12" s="7"/>
      <c r="X12" s="7"/>
      <c r="Y12" s="7"/>
      <c r="Z12" s="7"/>
      <c r="AA12" s="7"/>
      <c r="AB12" s="7"/>
      <c r="AC12" s="7" t="e">
        <f>Tabelle1321011121517[[#This Row],[SD 1]]/Tabelle1321011121517[[#This Row],[Mean Visc. 1 '[mPas']]]</f>
        <v>#DIV/0!</v>
      </c>
      <c r="AD12" s="7" t="e">
        <f>[1]!Tabelle1325[[#This Row],[SD 2]]/[1]!Tabelle1325[[#This Row],[Mean Visc. 2 '[mPas']2]]</f>
        <v>#DIV/0!</v>
      </c>
      <c r="AE12" s="7" t="e">
        <f>[1]!Tabelle1325[[#This Row],[SD 3]]/[1]!Tabelle1325[[#This Row],[Mean Visc. 3 '[mPas']3]]</f>
        <v>#DIV/0!</v>
      </c>
    </row>
    <row r="13" spans="1:31" x14ac:dyDescent="0.3">
      <c r="A13">
        <v>12</v>
      </c>
      <c r="B13" s="4"/>
      <c r="C13" s="5"/>
      <c r="D13" s="7">
        <v>1</v>
      </c>
      <c r="E13" t="str">
        <f t="shared" si="0"/>
        <v>HL0326</v>
      </c>
      <c r="F13" t="s">
        <v>175</v>
      </c>
      <c r="G13" s="23"/>
      <c r="H13" s="12" t="s">
        <v>185</v>
      </c>
      <c r="I13" s="9" t="s">
        <v>12</v>
      </c>
      <c r="J13" s="7">
        <v>24.6</v>
      </c>
      <c r="K13" s="7">
        <v>10</v>
      </c>
      <c r="L13" s="7">
        <v>30.64</v>
      </c>
      <c r="M13" s="7">
        <v>383</v>
      </c>
      <c r="N13" s="7">
        <f>[1]!Tabelle1325[[#This Row],[Anzahl Frames]]/[1]!Tabelle1325[[#This Row],[Aufnahmezeit '[s']]]</f>
        <v>12.491867273910215</v>
      </c>
      <c r="O13" s="6">
        <f>1/[1]!Tabelle1325[[#This Row],[Mean fps ]]</f>
        <v>8.0052083333333329E-2</v>
      </c>
      <c r="S13" s="7">
        <v>1.0509999999999999</v>
      </c>
      <c r="T13" s="7">
        <v>0.96299999999999997</v>
      </c>
      <c r="U13" s="7">
        <v>1.5489999999999999</v>
      </c>
      <c r="V13" s="7"/>
      <c r="W13" s="7"/>
      <c r="X13" s="7"/>
      <c r="Y13" s="7"/>
      <c r="Z13" s="7"/>
      <c r="AA13" s="7"/>
      <c r="AB13" s="7"/>
      <c r="AC13" s="7" t="e">
        <f>Tabelle1321011121517[[#This Row],[SD 1]]/Tabelle1321011121517[[#This Row],[Mean Visc. 1 '[mPas']]]</f>
        <v>#DIV/0!</v>
      </c>
      <c r="AD13" s="7" t="e">
        <f>[1]!Tabelle1325[[#This Row],[SD 2]]/[1]!Tabelle1325[[#This Row],[Mean Visc. 2 '[mPas']2]]</f>
        <v>#DIV/0!</v>
      </c>
      <c r="AE13" s="7" t="e">
        <f>[1]!Tabelle1325[[#This Row],[SD 3]]/[1]!Tabelle1325[[#This Row],[Mean Visc. 3 '[mPas']3]]</f>
        <v>#DIV/0!</v>
      </c>
    </row>
    <row r="14" spans="1:31" x14ac:dyDescent="0.3">
      <c r="A14">
        <v>13</v>
      </c>
      <c r="B14" s="4"/>
      <c r="C14" s="5"/>
      <c r="D14" s="7">
        <v>1</v>
      </c>
      <c r="E14" t="str">
        <f t="shared" si="0"/>
        <v>HL0326</v>
      </c>
      <c r="F14" t="s">
        <v>175</v>
      </c>
      <c r="G14" s="23"/>
      <c r="H14" s="12" t="s">
        <v>185</v>
      </c>
      <c r="I14" s="9" t="s">
        <v>12</v>
      </c>
      <c r="J14" s="7">
        <v>24.6</v>
      </c>
      <c r="K14" s="7">
        <v>10</v>
      </c>
      <c r="L14" s="7">
        <v>29.84</v>
      </c>
      <c r="M14" s="7">
        <v>374</v>
      </c>
      <c r="N14" s="7">
        <f>[1]!Tabelle1325[[#This Row],[Anzahl Frames]]/[1]!Tabelle1325[[#This Row],[Aufnahmezeit '[s']]]</f>
        <v>12.491971740526653</v>
      </c>
      <c r="O14" s="6">
        <f>1/[1]!Tabelle1325[[#This Row],[Mean fps ]]</f>
        <v>8.0051413881748079E-2</v>
      </c>
      <c r="S14" s="7">
        <v>1.0189999999999999</v>
      </c>
      <c r="T14" s="7">
        <v>0.94499999999999995</v>
      </c>
      <c r="U14" s="7">
        <v>1.494</v>
      </c>
      <c r="V14" s="7"/>
      <c r="W14" s="7"/>
      <c r="X14" s="7"/>
      <c r="Y14" s="7"/>
      <c r="Z14" s="7"/>
      <c r="AA14" s="7"/>
      <c r="AB14" s="7"/>
      <c r="AC14" s="7" t="e">
        <f>Tabelle1321011121517[[#This Row],[SD 1]]/Tabelle1321011121517[[#This Row],[Mean Visc. 1 '[mPas']]]</f>
        <v>#DIV/0!</v>
      </c>
      <c r="AD14" s="7" t="e">
        <f>[1]!Tabelle1325[[#This Row],[SD 2]]/[1]!Tabelle1325[[#This Row],[Mean Visc. 2 '[mPas']2]]</f>
        <v>#DIV/0!</v>
      </c>
      <c r="AE14" s="7" t="e">
        <f>[1]!Tabelle1325[[#This Row],[SD 3]]/[1]!Tabelle1325[[#This Row],[Mean Visc. 3 '[mPas']3]]</f>
        <v>#DIV/0!</v>
      </c>
    </row>
    <row r="15" spans="1:31" x14ac:dyDescent="0.3">
      <c r="A15">
        <v>14</v>
      </c>
      <c r="B15" s="4"/>
      <c r="C15" s="5"/>
      <c r="D15" s="7">
        <v>1</v>
      </c>
      <c r="E15" t="str">
        <f t="shared" si="0"/>
        <v>HL0326</v>
      </c>
      <c r="F15" t="s">
        <v>175</v>
      </c>
      <c r="G15" s="23"/>
      <c r="H15" s="12" t="s">
        <v>185</v>
      </c>
      <c r="I15" s="9" t="s">
        <v>12</v>
      </c>
      <c r="J15" s="7">
        <v>24.7</v>
      </c>
      <c r="K15" s="7">
        <v>10</v>
      </c>
      <c r="L15" s="7">
        <v>30.56</v>
      </c>
      <c r="M15" s="7">
        <v>382</v>
      </c>
      <c r="N15" s="7">
        <f>[1]!Tabelle1325[[#This Row],[Anzahl Frames]]/[1]!Tabelle1325[[#This Row],[Aufnahmezeit '[s']]]</f>
        <v>12.491824722040549</v>
      </c>
      <c r="O15" s="6">
        <f>1/[1]!Tabelle1325[[#This Row],[Mean fps ]]</f>
        <v>8.0052356020942406E-2</v>
      </c>
      <c r="S15" s="7">
        <v>0.99399999999999999</v>
      </c>
      <c r="T15" s="7">
        <v>0.84299999999999997</v>
      </c>
      <c r="U15" s="7">
        <v>1.48</v>
      </c>
      <c r="V15" s="7"/>
      <c r="W15" s="7"/>
      <c r="X15" s="7"/>
      <c r="Y15" s="7"/>
      <c r="Z15" s="7"/>
      <c r="AA15" s="7"/>
      <c r="AB15" s="7"/>
      <c r="AC15" s="7" t="e">
        <f>Tabelle1321011121517[[#This Row],[SD 1]]/Tabelle1321011121517[[#This Row],[Mean Visc. 1 '[mPas']]]</f>
        <v>#DIV/0!</v>
      </c>
      <c r="AD15" s="7" t="e">
        <f>[1]!Tabelle1325[[#This Row],[SD 2]]/[1]!Tabelle1325[[#This Row],[Mean Visc. 2 '[mPas']2]]</f>
        <v>#DIV/0!</v>
      </c>
      <c r="AE15" s="7" t="e">
        <f>[1]!Tabelle1325[[#This Row],[SD 3]]/[1]!Tabelle1325[[#This Row],[Mean Visc. 3 '[mPas']3]]</f>
        <v>#DIV/0!</v>
      </c>
    </row>
    <row r="16" spans="1:31" s="14" customFormat="1" ht="15" thickBot="1" x14ac:dyDescent="0.35">
      <c r="A16" s="14">
        <v>15</v>
      </c>
      <c r="B16" s="15"/>
      <c r="C16" s="16"/>
      <c r="D16" s="17">
        <v>1</v>
      </c>
      <c r="E16" t="str">
        <f t="shared" si="0"/>
        <v>HL0326</v>
      </c>
      <c r="F16" t="s">
        <v>175</v>
      </c>
      <c r="G16" s="24"/>
      <c r="H16" s="12" t="s">
        <v>185</v>
      </c>
      <c r="I16" s="9" t="s">
        <v>12</v>
      </c>
      <c r="J16" s="17">
        <v>24.8</v>
      </c>
      <c r="K16" s="17">
        <v>10</v>
      </c>
      <c r="L16" s="17">
        <v>30.56</v>
      </c>
      <c r="M16" s="17">
        <v>382</v>
      </c>
      <c r="N16" s="17">
        <f>[1]!Tabelle1325[[#This Row],[Anzahl Frames]]/[1]!Tabelle1325[[#This Row],[Aufnahmezeit '[s']]]</f>
        <v>12.53180661577608</v>
      </c>
      <c r="O16" s="25">
        <f>1/[1]!Tabelle1325[[#This Row],[Mean fps ]]</f>
        <v>7.9796954314720822E-2</v>
      </c>
      <c r="P16" s="17"/>
      <c r="Q16" s="20"/>
      <c r="R16" s="21"/>
      <c r="S16" s="17">
        <v>1.028</v>
      </c>
      <c r="T16" s="17">
        <v>0.85599999999999998</v>
      </c>
      <c r="U16" s="17">
        <v>1.4550000000000001</v>
      </c>
      <c r="V16" s="17"/>
      <c r="W16" s="17"/>
      <c r="X16" s="17"/>
      <c r="Y16" s="17"/>
      <c r="Z16" s="17"/>
      <c r="AA16" s="17"/>
      <c r="AB16" s="17"/>
      <c r="AC16" s="17" t="e">
        <f>Tabelle1321011121517[[#This Row],[SD 1]]/Tabelle1321011121517[[#This Row],[Mean Visc. 1 '[mPas']]]</f>
        <v>#DIV/0!</v>
      </c>
      <c r="AD16" s="17" t="e">
        <f>[1]!Tabelle1325[[#This Row],[SD 2]]/[1]!Tabelle1325[[#This Row],[Mean Visc. 2 '[mPas']2]]</f>
        <v>#DIV/0!</v>
      </c>
      <c r="AE16" s="17" t="e">
        <f>[1]!Tabelle1325[[#This Row],[SD 3]]/[1]!Tabelle1325[[#This Row],[Mean Visc. 3 '[mPas']3]]</f>
        <v>#DIV/0!</v>
      </c>
    </row>
    <row r="17" spans="1:31" ht="15" thickTop="1" x14ac:dyDescent="0.3">
      <c r="A17">
        <v>16</v>
      </c>
      <c r="B17" s="4"/>
      <c r="C17" s="5"/>
      <c r="D17" s="7">
        <v>1</v>
      </c>
      <c r="E17" t="str">
        <f t="shared" si="0"/>
        <v>HL0326</v>
      </c>
      <c r="F17" t="s">
        <v>175</v>
      </c>
      <c r="G17" s="23"/>
      <c r="H17" s="12" t="s">
        <v>185</v>
      </c>
      <c r="I17" s="9" t="s">
        <v>12</v>
      </c>
      <c r="J17" s="7">
        <v>24.9</v>
      </c>
      <c r="K17" s="7">
        <v>10</v>
      </c>
      <c r="L17" s="7">
        <v>30.24</v>
      </c>
      <c r="M17" s="7">
        <v>379</v>
      </c>
      <c r="N17" s="7">
        <f>[1]!Tabelle1325[[#This Row],[Anzahl Frames]]/[1]!Tabelle1325[[#This Row],[Aufnahmezeit '[s']]]</f>
        <v>12.5</v>
      </c>
      <c r="O17" s="6">
        <f>1/[1]!Tabelle1325[[#This Row],[Mean fps ]]</f>
        <v>0.08</v>
      </c>
      <c r="S17" s="7">
        <v>1.0049999999999999</v>
      </c>
      <c r="T17" s="7">
        <v>0.878</v>
      </c>
      <c r="U17" s="7">
        <v>1.4790000000000001</v>
      </c>
      <c r="V17" s="7"/>
      <c r="W17" s="7"/>
      <c r="X17" s="7"/>
      <c r="Y17" s="7"/>
      <c r="Z17" s="7"/>
      <c r="AA17" s="7"/>
      <c r="AB17" s="7"/>
      <c r="AC17" s="7" t="e">
        <f>Tabelle1321011121517[[#This Row],[SD 1]]/Tabelle1321011121517[[#This Row],[Mean Visc. 1 '[mPas']]]</f>
        <v>#DIV/0!</v>
      </c>
      <c r="AD17" s="7" t="e">
        <f>[1]!Tabelle1325[[#This Row],[SD 2]]/[1]!Tabelle1325[[#This Row],[Mean Visc. 2 '[mPas']2]]</f>
        <v>#DIV/0!</v>
      </c>
      <c r="AE17" s="7" t="e">
        <f>[1]!Tabelle1325[[#This Row],[SD 3]]/[1]!Tabelle1325[[#This Row],[Mean Visc. 3 '[mPas']3]]</f>
        <v>#DIV/0!</v>
      </c>
    </row>
    <row r="18" spans="1:31" x14ac:dyDescent="0.3">
      <c r="A18">
        <v>17</v>
      </c>
      <c r="B18" s="4"/>
      <c r="C18" s="5"/>
      <c r="D18" s="7">
        <v>1</v>
      </c>
      <c r="E18" t="str">
        <f t="shared" si="0"/>
        <v>HL0326</v>
      </c>
      <c r="F18" t="s">
        <v>175</v>
      </c>
      <c r="G18" s="23"/>
      <c r="H18" s="12" t="s">
        <v>185</v>
      </c>
      <c r="I18" s="9" t="s">
        <v>12</v>
      </c>
      <c r="J18" s="7">
        <v>24.9</v>
      </c>
      <c r="K18" s="7">
        <v>10</v>
      </c>
      <c r="L18" s="7">
        <v>31.44</v>
      </c>
      <c r="M18" s="7">
        <v>393</v>
      </c>
      <c r="N18" s="7">
        <f>[1]!Tabelle1325[[#This Row],[Anzahl Frames]]/[1]!Tabelle1325[[#This Row],[Aufnahmezeit '[s']]]</f>
        <v>12.532552083333334</v>
      </c>
      <c r="O18" s="6">
        <f>1/[1]!Tabelle1325[[#This Row],[Mean fps ]]</f>
        <v>7.9792207792207789E-2</v>
      </c>
      <c r="S18" s="7">
        <v>1.0029999999999999</v>
      </c>
      <c r="T18" s="7">
        <v>0.876</v>
      </c>
      <c r="U18" s="7">
        <v>1.518</v>
      </c>
      <c r="V18" s="7"/>
      <c r="W18" s="7"/>
      <c r="X18" s="7"/>
      <c r="Y18" s="7"/>
      <c r="Z18" s="7"/>
      <c r="AA18" s="7"/>
      <c r="AB18" s="7"/>
      <c r="AC18" s="7" t="e">
        <f>Tabelle1321011121517[[#This Row],[SD 1]]/Tabelle1321011121517[[#This Row],[Mean Visc. 1 '[mPas']]]</f>
        <v>#DIV/0!</v>
      </c>
      <c r="AD18" s="7" t="e">
        <f>[1]!Tabelle1325[[#This Row],[SD 2]]/[1]!Tabelle1325[[#This Row],[Mean Visc. 2 '[mPas']2]]</f>
        <v>#DIV/0!</v>
      </c>
      <c r="AE18" s="7" t="e">
        <f>[1]!Tabelle1325[[#This Row],[SD 3]]/[1]!Tabelle1325[[#This Row],[Mean Visc. 3 '[mPas']3]]</f>
        <v>#DIV/0!</v>
      </c>
    </row>
    <row r="19" spans="1:31" x14ac:dyDescent="0.3">
      <c r="A19">
        <v>18</v>
      </c>
      <c r="B19" s="4"/>
      <c r="C19" s="5"/>
      <c r="D19" s="7">
        <v>1</v>
      </c>
      <c r="E19" t="str">
        <f t="shared" si="0"/>
        <v>HL0326</v>
      </c>
      <c r="F19" t="s">
        <v>175</v>
      </c>
      <c r="G19" s="23"/>
      <c r="H19" s="12" t="s">
        <v>185</v>
      </c>
      <c r="I19" s="9" t="s">
        <v>12</v>
      </c>
      <c r="J19" s="7">
        <v>25</v>
      </c>
      <c r="K19" s="7">
        <v>10</v>
      </c>
      <c r="L19" s="7">
        <v>32.799999999999997</v>
      </c>
      <c r="M19" s="7">
        <v>410</v>
      </c>
      <c r="N19" s="7">
        <f>[1]!Tabelle1325[[#This Row],[Anzahl Frames]]/[1]!Tabelle1325[[#This Row],[Aufnahmezeit '[s']]]</f>
        <v>12.531017369727046</v>
      </c>
      <c r="O19" s="6">
        <f>1/[1]!Tabelle1325[[#This Row],[Mean fps ]]</f>
        <v>7.9801980198019817E-2</v>
      </c>
      <c r="S19" s="7">
        <v>0.97899999999999998</v>
      </c>
      <c r="T19" s="7">
        <v>0.86299999999999999</v>
      </c>
      <c r="U19" s="7">
        <v>1.4319999999999999</v>
      </c>
      <c r="V19" s="7"/>
      <c r="W19" s="7"/>
      <c r="X19" s="7"/>
      <c r="Y19" s="7"/>
      <c r="Z19" s="7"/>
      <c r="AA19" s="7"/>
      <c r="AB19" s="7"/>
      <c r="AC19" s="7" t="e">
        <f>Tabelle1321011121517[[#This Row],[SD 1]]/Tabelle1321011121517[[#This Row],[Mean Visc. 1 '[mPas']]]</f>
        <v>#DIV/0!</v>
      </c>
      <c r="AD19" s="7" t="e">
        <f>[1]!Tabelle1325[[#This Row],[SD 2]]/[1]!Tabelle1325[[#This Row],[Mean Visc. 2 '[mPas']2]]</f>
        <v>#DIV/0!</v>
      </c>
      <c r="AE19" s="7" t="e">
        <f>[1]!Tabelle1325[[#This Row],[SD 3]]/[1]!Tabelle1325[[#This Row],[Mean Visc. 3 '[mPas']3]]</f>
        <v>#DIV/0!</v>
      </c>
    </row>
    <row r="20" spans="1:31" x14ac:dyDescent="0.3">
      <c r="A20">
        <v>19</v>
      </c>
      <c r="B20" s="4"/>
      <c r="C20" s="5"/>
      <c r="D20" s="7">
        <v>1</v>
      </c>
      <c r="E20" t="str">
        <f t="shared" si="0"/>
        <v>HL0326</v>
      </c>
      <c r="F20" t="s">
        <v>175</v>
      </c>
      <c r="G20" s="23"/>
      <c r="H20" s="12" t="s">
        <v>185</v>
      </c>
      <c r="I20" s="9" t="s">
        <v>12</v>
      </c>
      <c r="J20" s="7">
        <v>25</v>
      </c>
      <c r="K20" s="7">
        <v>10</v>
      </c>
      <c r="L20" s="7">
        <v>30.63</v>
      </c>
      <c r="M20" s="7">
        <v>383</v>
      </c>
      <c r="N20" s="7">
        <f>[1]!Tabelle1325[[#This Row],[Anzahl Frames]]/[1]!Tabelle1325[[#This Row],[Aufnahmezeit '[s']]]</f>
        <v>12.508406186953598</v>
      </c>
      <c r="O20" s="6">
        <f>1/[1]!Tabelle1325[[#This Row],[Mean fps ]]</f>
        <v>7.994623655913978E-2</v>
      </c>
      <c r="S20" s="7">
        <v>1.0029999999999999</v>
      </c>
      <c r="T20" s="7">
        <v>0.878</v>
      </c>
      <c r="U20" s="7">
        <v>1.528</v>
      </c>
      <c r="V20" s="7"/>
      <c r="W20" s="7"/>
      <c r="X20" s="7"/>
      <c r="Y20" s="7"/>
      <c r="Z20" s="7"/>
      <c r="AA20" s="7"/>
      <c r="AB20" s="7"/>
      <c r="AC20" s="7" t="e">
        <f>Tabelle1321011121517[[#This Row],[SD 1]]/Tabelle1321011121517[[#This Row],[Mean Visc. 1 '[mPas']]]</f>
        <v>#DIV/0!</v>
      </c>
      <c r="AD20" s="7" t="e">
        <f>[1]!Tabelle1325[[#This Row],[SD 2]]/[1]!Tabelle1325[[#This Row],[Mean Visc. 2 '[mPas']2]]</f>
        <v>#DIV/0!</v>
      </c>
      <c r="AE20" s="7" t="e">
        <f>[1]!Tabelle1325[[#This Row],[SD 3]]/[1]!Tabelle1325[[#This Row],[Mean Visc. 3 '[mPas']3]]</f>
        <v>#DIV/0!</v>
      </c>
    </row>
    <row r="21" spans="1:31" s="14" customFormat="1" ht="15" thickBot="1" x14ac:dyDescent="0.35">
      <c r="A21" s="14">
        <v>20</v>
      </c>
      <c r="B21" s="15"/>
      <c r="C21" s="16"/>
      <c r="D21" s="17">
        <v>1</v>
      </c>
      <c r="E21" t="str">
        <f t="shared" si="0"/>
        <v>HL0326</v>
      </c>
      <c r="F21" t="s">
        <v>175</v>
      </c>
      <c r="G21" s="24"/>
      <c r="H21" s="12" t="s">
        <v>185</v>
      </c>
      <c r="I21" s="9" t="s">
        <v>12</v>
      </c>
      <c r="J21" s="17">
        <v>25.1</v>
      </c>
      <c r="K21" s="17">
        <v>10</v>
      </c>
      <c r="L21" s="17">
        <v>31.76</v>
      </c>
      <c r="M21" s="17">
        <v>397</v>
      </c>
      <c r="N21" s="17">
        <f>[1]!Tabelle1325[[#This Row],[Anzahl Frames]]/[1]!Tabelle1325[[#This Row],[Aufnahmezeit '[s']]]</f>
        <v>12.5</v>
      </c>
      <c r="O21" s="25">
        <f>1/[1]!Tabelle1325[[#This Row],[Mean fps ]]</f>
        <v>0.08</v>
      </c>
      <c r="P21" s="17"/>
      <c r="Q21" s="20"/>
      <c r="R21" s="21"/>
      <c r="S21" s="17">
        <v>1.0229999999999999</v>
      </c>
      <c r="T21" s="17">
        <v>0.875</v>
      </c>
      <c r="U21" s="17">
        <v>1.488</v>
      </c>
      <c r="V21" s="17"/>
      <c r="W21" s="7">
        <f>SUM(S12:S21)/10</f>
        <v>1.0138</v>
      </c>
      <c r="X21" s="7">
        <f t="shared" ref="X21" si="3">SUM(T12:T21)/10</f>
        <v>0.88979999999999992</v>
      </c>
      <c r="Y21" s="7">
        <f t="shared" ref="Y21" si="4">SUM(U12:U21)/10</f>
        <v>1.4958000000000002</v>
      </c>
      <c r="Z21" s="17">
        <f>_xlfn.STDEV.S(S12:S21)</f>
        <v>2.1028023629855886E-2</v>
      </c>
      <c r="AA21" s="17">
        <f>_xlfn.STDEV.S(T12:T21)</f>
        <v>3.9605835709175766E-2</v>
      </c>
      <c r="AB21" s="17">
        <f>_xlfn.STDEV.S(U12:U21)</f>
        <v>3.6859492972940104E-2</v>
      </c>
      <c r="AC21" s="17">
        <f>Tabelle1321011121517[[#This Row],[SD 1]]/Tabelle1321011121517[[#This Row],[Mean Visc. 1 '[mPas']]]</f>
        <v>2.0741786969674381E-2</v>
      </c>
      <c r="AD21" s="17">
        <f>Tabelle1321011121517[[#This Row],[SD 2]]/Tabelle1321011121517[[#This Row],[Mean Visc. 2 '[mPas']2]]</f>
        <v>4.4510941457828468E-2</v>
      </c>
      <c r="AE21" s="17">
        <f>Tabelle1321011121517[[#This Row],[SD 3]]/Tabelle1321011121517[[#This Row],[Mean Visc. 3 '[mPas']3]]</f>
        <v>2.4641992895400519E-2</v>
      </c>
    </row>
    <row r="22" spans="1:31" ht="15" thickTop="1" x14ac:dyDescent="0.3">
      <c r="A22">
        <v>21</v>
      </c>
      <c r="B22" s="4"/>
      <c r="C22" s="5"/>
      <c r="D22" s="7">
        <v>2</v>
      </c>
      <c r="E22" t="s">
        <v>174</v>
      </c>
      <c r="F22" t="s">
        <v>175</v>
      </c>
      <c r="G22" s="23"/>
      <c r="H22" s="12" t="s">
        <v>160</v>
      </c>
      <c r="I22" s="9" t="s">
        <v>12</v>
      </c>
      <c r="J22" s="7">
        <v>24.1</v>
      </c>
      <c r="K22" s="7">
        <v>23</v>
      </c>
      <c r="L22" s="7">
        <v>30.87</v>
      </c>
      <c r="M22" s="7">
        <v>386</v>
      </c>
      <c r="N22" s="7">
        <f>[1]!Tabelle1325[[#This Row],[Anzahl Frames]]/[1]!Tabelle1325[[#This Row],[Aufnahmezeit '[s']]]</f>
        <v>12.5</v>
      </c>
      <c r="O22" s="6">
        <f>1/[1]!Tabelle1325[[#This Row],[Mean fps ]]</f>
        <v>0.08</v>
      </c>
      <c r="S22" s="7">
        <v>1.3979999999999999</v>
      </c>
      <c r="T22" s="7">
        <v>1.0840000000000001</v>
      </c>
      <c r="U22" s="7">
        <v>1.84</v>
      </c>
      <c r="V22" s="7"/>
      <c r="W22" s="7"/>
      <c r="X22" s="7"/>
      <c r="Y22" s="7"/>
      <c r="Z22" s="7"/>
      <c r="AA22" s="7"/>
      <c r="AB22" s="7"/>
      <c r="AC22" s="7" t="e">
        <f>Tabelle1321011121517[[#This Row],[SD 1]]/Tabelle1321011121517[[#This Row],[Mean Visc. 1 '[mPas']]]</f>
        <v>#DIV/0!</v>
      </c>
      <c r="AD22" s="7" t="e">
        <f>[1]!Tabelle1325[[#This Row],[SD 2]]/[1]!Tabelle1325[[#This Row],[Mean Visc. 2 '[mPas']2]]</f>
        <v>#DIV/0!</v>
      </c>
      <c r="AE22" s="7" t="e">
        <f>[1]!Tabelle1325[[#This Row],[SD 3]]/[1]!Tabelle1325[[#This Row],[Mean Visc. 3 '[mPas']3]]</f>
        <v>#DIV/0!</v>
      </c>
    </row>
    <row r="23" spans="1:31" x14ac:dyDescent="0.3">
      <c r="A23">
        <v>22</v>
      </c>
      <c r="B23" s="4"/>
      <c r="C23" s="5"/>
      <c r="D23" s="7">
        <v>2</v>
      </c>
      <c r="E23" t="s">
        <v>174</v>
      </c>
      <c r="F23" t="s">
        <v>175</v>
      </c>
      <c r="G23" s="23"/>
      <c r="H23" s="12" t="s">
        <v>160</v>
      </c>
      <c r="I23" s="9" t="s">
        <v>12</v>
      </c>
      <c r="J23" s="7">
        <v>24.2</v>
      </c>
      <c r="K23" s="7">
        <v>23</v>
      </c>
      <c r="L23" s="7">
        <v>32.1</v>
      </c>
      <c r="M23" s="7">
        <v>401</v>
      </c>
      <c r="N23" s="7">
        <f>[1]!Tabelle1325[[#This Row],[Anzahl Frames]]/[1]!Tabelle1325[[#This Row],[Aufnahmezeit '[s']]]</f>
        <v>12.53238341968912</v>
      </c>
      <c r="O23" s="6">
        <f>1/[1]!Tabelle1325[[#This Row],[Mean fps ]]</f>
        <v>7.9793281653746759E-2</v>
      </c>
      <c r="S23" s="7">
        <v>1.321</v>
      </c>
      <c r="T23" s="7">
        <v>1.163</v>
      </c>
      <c r="U23" s="7">
        <v>1.76</v>
      </c>
      <c r="V23" s="7"/>
      <c r="W23" s="7"/>
      <c r="X23" s="7"/>
      <c r="Y23" s="7"/>
      <c r="Z23" s="7"/>
      <c r="AA23" s="7"/>
      <c r="AB23" s="7"/>
      <c r="AC23" s="7" t="e">
        <f>Tabelle1321011121517[[#This Row],[SD 1]]/Tabelle1321011121517[[#This Row],[Mean Visc. 1 '[mPas']]]</f>
        <v>#DIV/0!</v>
      </c>
      <c r="AD23" s="7" t="e">
        <f>[1]!Tabelle1325[[#This Row],[SD 2]]/[1]!Tabelle1325[[#This Row],[Mean Visc. 2 '[mPas']2]]</f>
        <v>#DIV/0!</v>
      </c>
      <c r="AE23" s="7" t="e">
        <f>[1]!Tabelle1325[[#This Row],[SD 3]]/[1]!Tabelle1325[[#This Row],[Mean Visc. 3 '[mPas']3]]</f>
        <v>#DIV/0!</v>
      </c>
    </row>
    <row r="24" spans="1:31" x14ac:dyDescent="0.3">
      <c r="A24">
        <v>23</v>
      </c>
      <c r="B24" s="4"/>
      <c r="C24" s="5"/>
      <c r="D24" s="7">
        <v>2</v>
      </c>
      <c r="E24" t="s">
        <v>174</v>
      </c>
      <c r="F24" t="s">
        <v>175</v>
      </c>
      <c r="G24" s="23"/>
      <c r="H24" s="12" t="s">
        <v>160</v>
      </c>
      <c r="I24" s="9" t="s">
        <v>12</v>
      </c>
      <c r="J24" s="7">
        <v>24.3</v>
      </c>
      <c r="K24" s="7">
        <v>23</v>
      </c>
      <c r="L24" s="7">
        <v>30.02</v>
      </c>
      <c r="M24" s="7">
        <v>375</v>
      </c>
      <c r="N24" s="7">
        <f>[1]!Tabelle1325[[#This Row],[Anzahl Frames]]/[1]!Tabelle1325[[#This Row],[Aufnahmezeit '[s']]]</f>
        <v>12.479474548440066</v>
      </c>
      <c r="O24" s="6">
        <f>1/[1]!Tabelle1325[[#This Row],[Mean fps ]]</f>
        <v>8.0131578947368415E-2</v>
      </c>
      <c r="S24" s="7">
        <v>1.399</v>
      </c>
      <c r="T24" s="7">
        <v>1.216</v>
      </c>
      <c r="U24" s="7">
        <v>1.97</v>
      </c>
      <c r="V24" s="7"/>
      <c r="W24" s="7"/>
      <c r="X24" s="7"/>
      <c r="Y24" s="7"/>
      <c r="Z24" s="7"/>
      <c r="AA24" s="7"/>
      <c r="AB24" s="7"/>
      <c r="AC24" s="7" t="e">
        <f>Tabelle1321011121517[[#This Row],[SD 1]]/Tabelle1321011121517[[#This Row],[Mean Visc. 1 '[mPas']]]</f>
        <v>#DIV/0!</v>
      </c>
      <c r="AD24" s="7" t="e">
        <f>[1]!Tabelle1325[[#This Row],[SD 2]]/[1]!Tabelle1325[[#This Row],[Mean Visc. 2 '[mPas']2]]</f>
        <v>#DIV/0!</v>
      </c>
      <c r="AE24" s="7" t="e">
        <f>[1]!Tabelle1325[[#This Row],[SD 3]]/[1]!Tabelle1325[[#This Row],[Mean Visc. 3 '[mPas']3]]</f>
        <v>#DIV/0!</v>
      </c>
    </row>
    <row r="25" spans="1:31" x14ac:dyDescent="0.3">
      <c r="A25">
        <v>24</v>
      </c>
      <c r="B25" s="4"/>
      <c r="C25" s="5"/>
      <c r="D25" s="7">
        <v>2</v>
      </c>
      <c r="E25" t="s">
        <v>174</v>
      </c>
      <c r="F25" t="s">
        <v>175</v>
      </c>
      <c r="G25" s="23"/>
      <c r="H25" s="12" t="s">
        <v>160</v>
      </c>
      <c r="I25" s="9" t="s">
        <v>12</v>
      </c>
      <c r="J25" s="7">
        <v>24.3</v>
      </c>
      <c r="K25" s="7">
        <v>23</v>
      </c>
      <c r="L25" s="7">
        <v>31.04</v>
      </c>
      <c r="M25" s="7">
        <v>388</v>
      </c>
      <c r="N25" s="7">
        <f>[1]!Tabelle1325[[#This Row],[Anzahl Frames]]/[1]!Tabelle1325[[#This Row],[Aufnahmezeit '[s']]]</f>
        <v>12.491760052735662</v>
      </c>
      <c r="O25" s="6">
        <f>1/[1]!Tabelle1325[[#This Row],[Mean fps ]]</f>
        <v>8.0052770448548818E-2</v>
      </c>
      <c r="S25" s="7">
        <v>1.42</v>
      </c>
      <c r="T25" s="7">
        <v>1.298</v>
      </c>
      <c r="U25" s="7">
        <v>1.9710000000000001</v>
      </c>
      <c r="V25" s="7"/>
      <c r="W25" s="7"/>
      <c r="X25" s="7"/>
      <c r="Y25" s="7"/>
      <c r="Z25" s="7"/>
      <c r="AA25" s="7"/>
      <c r="AB25" s="7"/>
      <c r="AC25" s="7" t="e">
        <f>Tabelle1321011121517[[#This Row],[SD 1]]/Tabelle1321011121517[[#This Row],[Mean Visc. 1 '[mPas']]]</f>
        <v>#DIV/0!</v>
      </c>
      <c r="AD25" s="7" t="e">
        <f>[1]!Tabelle1325[[#This Row],[SD 2]]/[1]!Tabelle1325[[#This Row],[Mean Visc. 2 '[mPas']2]]</f>
        <v>#DIV/0!</v>
      </c>
      <c r="AE25" s="7" t="e">
        <f>[1]!Tabelle1325[[#This Row],[SD 3]]/[1]!Tabelle1325[[#This Row],[Mean Visc. 3 '[mPas']3]]</f>
        <v>#DIV/0!</v>
      </c>
    </row>
    <row r="26" spans="1:31" s="14" customFormat="1" ht="15" thickBot="1" x14ac:dyDescent="0.35">
      <c r="A26" s="14">
        <v>25</v>
      </c>
      <c r="B26" s="15"/>
      <c r="C26" s="16"/>
      <c r="D26" s="17">
        <v>2</v>
      </c>
      <c r="E26" t="s">
        <v>174</v>
      </c>
      <c r="F26" t="s">
        <v>175</v>
      </c>
      <c r="G26" s="23"/>
      <c r="H26" s="12" t="s">
        <v>160</v>
      </c>
      <c r="I26" s="9" t="s">
        <v>12</v>
      </c>
      <c r="J26" s="17">
        <v>24.4</v>
      </c>
      <c r="K26" s="17">
        <v>23</v>
      </c>
      <c r="L26" s="17">
        <v>30.3</v>
      </c>
      <c r="M26" s="17">
        <v>379</v>
      </c>
      <c r="N26" s="17">
        <f>[1]!Tabelle1325[[#This Row],[Anzahl Frames]]/[1]!Tabelle1325[[#This Row],[Aufnahmezeit '[s']]]</f>
        <v>12.488902042024268</v>
      </c>
      <c r="O26" s="25">
        <f>1/[1]!Tabelle1325[[#This Row],[Mean fps ]]</f>
        <v>8.0071090047393365E-2</v>
      </c>
      <c r="P26" s="17"/>
      <c r="Q26" s="20"/>
      <c r="R26" s="21"/>
      <c r="S26" s="17">
        <v>1.4930000000000001</v>
      </c>
      <c r="T26" s="17">
        <v>1.3</v>
      </c>
      <c r="U26" s="17">
        <v>1.821</v>
      </c>
      <c r="V26" s="17"/>
      <c r="W26" s="17"/>
      <c r="X26" s="17"/>
      <c r="Y26" s="17"/>
      <c r="Z26" s="17"/>
      <c r="AA26" s="17"/>
      <c r="AB26" s="17"/>
      <c r="AC26" s="17" t="e">
        <f>Tabelle1321011121517[[#This Row],[SD 1]]/Tabelle1321011121517[[#This Row],[Mean Visc. 1 '[mPas']]]</f>
        <v>#DIV/0!</v>
      </c>
      <c r="AD26" s="17" t="e">
        <f>[1]!Tabelle1325[[#This Row],[SD 2]]/[1]!Tabelle1325[[#This Row],[Mean Visc. 2 '[mPas']2]]</f>
        <v>#DIV/0!</v>
      </c>
      <c r="AE26" s="17" t="e">
        <f>[1]!Tabelle1325[[#This Row],[SD 3]]/[1]!Tabelle1325[[#This Row],[Mean Visc. 3 '[mPas']3]]</f>
        <v>#DIV/0!</v>
      </c>
    </row>
    <row r="27" spans="1:31" ht="15" thickTop="1" x14ac:dyDescent="0.3">
      <c r="A27">
        <v>26</v>
      </c>
      <c r="B27" s="4"/>
      <c r="C27" s="5"/>
      <c r="D27" s="7">
        <v>2</v>
      </c>
      <c r="E27" t="s">
        <v>174</v>
      </c>
      <c r="F27" t="s">
        <v>175</v>
      </c>
      <c r="G27" s="23"/>
      <c r="H27" s="12" t="s">
        <v>160</v>
      </c>
      <c r="I27" s="9" t="s">
        <v>12</v>
      </c>
      <c r="J27" s="7">
        <v>24.4</v>
      </c>
      <c r="K27" s="7">
        <v>23</v>
      </c>
      <c r="L27" s="7">
        <v>30.48</v>
      </c>
      <c r="M27" s="7">
        <v>381</v>
      </c>
      <c r="N27" s="7">
        <f>[1]!Tabelle1325[[#This Row],[Anzahl Frames]]/[1]!Tabelle1325[[#This Row],[Aufnahmezeit '[s']]]</f>
        <v>12.504080966372838</v>
      </c>
      <c r="O27" s="6">
        <f>1/[1]!Tabelle1325[[#This Row],[Mean fps ]]</f>
        <v>7.9973890339425577E-2</v>
      </c>
      <c r="S27" s="7">
        <v>1.2769999999999999</v>
      </c>
      <c r="T27" s="7">
        <v>1.0349999999999999</v>
      </c>
      <c r="U27" s="7">
        <v>1.7889999999999999</v>
      </c>
      <c r="V27" s="7"/>
      <c r="W27" s="7"/>
      <c r="X27" s="7"/>
      <c r="Y27" s="7"/>
      <c r="Z27" s="7"/>
      <c r="AA27" s="7"/>
      <c r="AB27" s="7"/>
      <c r="AC27" s="7" t="e">
        <f>Tabelle1321011121517[[#This Row],[SD 1]]/Tabelle1321011121517[[#This Row],[Mean Visc. 1 '[mPas']]]</f>
        <v>#DIV/0!</v>
      </c>
      <c r="AD27" s="7" t="e">
        <f>[1]!Tabelle1325[[#This Row],[SD 2]]/[1]!Tabelle1325[[#This Row],[Mean Visc. 2 '[mPas']2]]</f>
        <v>#DIV/0!</v>
      </c>
      <c r="AE27" s="7" t="e">
        <f>[1]!Tabelle1325[[#This Row],[SD 3]]/[1]!Tabelle1325[[#This Row],[Mean Visc. 3 '[mPas']3]]</f>
        <v>#DIV/0!</v>
      </c>
    </row>
    <row r="28" spans="1:31" x14ac:dyDescent="0.3">
      <c r="A28">
        <v>27</v>
      </c>
      <c r="B28" s="4"/>
      <c r="C28" s="5"/>
      <c r="D28" s="7">
        <v>2</v>
      </c>
      <c r="E28" t="s">
        <v>174</v>
      </c>
      <c r="F28" t="s">
        <v>175</v>
      </c>
      <c r="G28" s="23"/>
      <c r="H28" s="12" t="s">
        <v>160</v>
      </c>
      <c r="I28" s="9" t="s">
        <v>12</v>
      </c>
      <c r="J28" s="7">
        <v>24.5</v>
      </c>
      <c r="K28" s="7">
        <v>22</v>
      </c>
      <c r="L28" s="7">
        <v>30.48</v>
      </c>
      <c r="M28" s="7">
        <v>381</v>
      </c>
      <c r="N28" s="7">
        <f>[1]!Tabelle1325[[#This Row],[Anzahl Frames]]/[1]!Tabelle1325[[#This Row],[Aufnahmezeit '[s']]]</f>
        <v>12.5</v>
      </c>
      <c r="O28" s="6">
        <f>1/[1]!Tabelle1325[[#This Row],[Mean fps ]]</f>
        <v>0.08</v>
      </c>
      <c r="S28" s="7">
        <v>1.387</v>
      </c>
      <c r="T28" s="7">
        <v>1.171</v>
      </c>
      <c r="U28" s="7">
        <v>1.9119999999999999</v>
      </c>
      <c r="V28" s="7"/>
      <c r="W28" s="7"/>
      <c r="X28" s="7"/>
      <c r="Y28" s="7"/>
      <c r="Z28" s="7"/>
      <c r="AA28" s="7"/>
      <c r="AB28" s="7"/>
      <c r="AC28" s="7" t="e">
        <f>Tabelle1321011121517[[#This Row],[SD 1]]/Tabelle1321011121517[[#This Row],[Mean Visc. 1 '[mPas']]]</f>
        <v>#DIV/0!</v>
      </c>
      <c r="AD28" s="7" t="e">
        <f>[1]!Tabelle1325[[#This Row],[SD 2]]/[1]!Tabelle1325[[#This Row],[Mean Visc. 2 '[mPas']2]]</f>
        <v>#DIV/0!</v>
      </c>
      <c r="AE28" s="7" t="e">
        <f>[1]!Tabelle1325[[#This Row],[SD 3]]/[1]!Tabelle1325[[#This Row],[Mean Visc. 3 '[mPas']3]]</f>
        <v>#DIV/0!</v>
      </c>
    </row>
    <row r="29" spans="1:31" x14ac:dyDescent="0.3">
      <c r="A29">
        <v>28</v>
      </c>
      <c r="B29" s="4"/>
      <c r="C29" s="5"/>
      <c r="D29" s="7">
        <v>2</v>
      </c>
      <c r="E29" t="s">
        <v>174</v>
      </c>
      <c r="F29" t="s">
        <v>175</v>
      </c>
      <c r="G29" s="23"/>
      <c r="H29" s="12" t="s">
        <v>160</v>
      </c>
      <c r="I29" s="9" t="s">
        <v>12</v>
      </c>
      <c r="J29" s="7">
        <v>24.5</v>
      </c>
      <c r="K29" s="7">
        <v>22</v>
      </c>
      <c r="L29" s="7">
        <v>30.56</v>
      </c>
      <c r="M29" s="7">
        <v>382</v>
      </c>
      <c r="N29" s="7">
        <f>[1]!Tabelle1325[[#This Row],[Anzahl Frames]]/[1]!Tabelle1325[[#This Row],[Aufnahmezeit '[s']]]</f>
        <v>0.08</v>
      </c>
      <c r="O29" s="6">
        <f>1/[1]!Tabelle1325[[#This Row],[Mean fps ]]</f>
        <v>12.5</v>
      </c>
      <c r="S29" s="7">
        <v>1.26</v>
      </c>
      <c r="T29" s="7">
        <v>1.0720000000000001</v>
      </c>
      <c r="U29" s="7">
        <v>1.641</v>
      </c>
      <c r="V29" s="7"/>
      <c r="W29" s="7"/>
      <c r="X29" s="7"/>
      <c r="Y29" s="7"/>
      <c r="Z29" s="7"/>
      <c r="AA29" s="7"/>
      <c r="AB29" s="7"/>
      <c r="AC29" s="7" t="e">
        <f>Tabelle1321011121517[[#This Row],[SD 1]]/Tabelle1321011121517[[#This Row],[Mean Visc. 1 '[mPas']]]</f>
        <v>#DIV/0!</v>
      </c>
      <c r="AD29" s="7" t="e">
        <f>[1]!Tabelle1325[[#This Row],[SD 2]]/[1]!Tabelle1325[[#This Row],[Mean Visc. 2 '[mPas']2]]</f>
        <v>#DIV/0!</v>
      </c>
      <c r="AE29" s="7" t="e">
        <f>[1]!Tabelle1325[[#This Row],[SD 3]]/[1]!Tabelle1325[[#This Row],[Mean Visc. 3 '[mPas']3]]</f>
        <v>#DIV/0!</v>
      </c>
    </row>
    <row r="30" spans="1:31" x14ac:dyDescent="0.3">
      <c r="A30">
        <v>29</v>
      </c>
      <c r="B30" s="4"/>
      <c r="C30" s="5"/>
      <c r="D30" s="7">
        <v>2</v>
      </c>
      <c r="E30" t="s">
        <v>174</v>
      </c>
      <c r="F30" t="s">
        <v>175</v>
      </c>
      <c r="G30" s="23"/>
      <c r="H30" s="12" t="s">
        <v>160</v>
      </c>
      <c r="I30" s="9" t="s">
        <v>12</v>
      </c>
      <c r="J30" s="7">
        <v>24.6</v>
      </c>
      <c r="K30" s="7">
        <v>22</v>
      </c>
      <c r="L30" s="7">
        <v>30.64</v>
      </c>
      <c r="M30" s="7">
        <v>383</v>
      </c>
      <c r="N30" s="7">
        <f>[1]!Tabelle1325[[#This Row],[Anzahl Frames]]/[1]!Tabelle1325[[#This Row],[Aufnahmezeit '[s']]]</f>
        <v>12.5</v>
      </c>
      <c r="O30" s="6">
        <f>1/[1]!Tabelle1325[[#This Row],[Mean fps ]]</f>
        <v>0.08</v>
      </c>
      <c r="S30" s="7">
        <v>1.222</v>
      </c>
      <c r="T30" s="7">
        <v>1.1599999999999999</v>
      </c>
      <c r="U30" s="7">
        <v>1.7509999999999999</v>
      </c>
      <c r="V30" s="7"/>
      <c r="W30" s="7"/>
      <c r="X30" s="7"/>
      <c r="Y30" s="7"/>
      <c r="Z30" s="7"/>
      <c r="AA30" s="7"/>
      <c r="AB30" s="7"/>
      <c r="AC30" s="7" t="e">
        <f>Tabelle1321011121517[[#This Row],[SD 1]]/Tabelle1321011121517[[#This Row],[Mean Visc. 1 '[mPas']]]</f>
        <v>#DIV/0!</v>
      </c>
      <c r="AD30" s="7" t="e">
        <f>[1]!Tabelle1325[[#This Row],[SD 2]]/[1]!Tabelle1325[[#This Row],[Mean Visc. 2 '[mPas']2]]</f>
        <v>#DIV/0!</v>
      </c>
      <c r="AE30" s="7" t="e">
        <f>[1]!Tabelle1325[[#This Row],[SD 3]]/[1]!Tabelle1325[[#This Row],[Mean Visc. 3 '[mPas']3]]</f>
        <v>#DIV/0!</v>
      </c>
    </row>
    <row r="31" spans="1:31" s="14" customFormat="1" ht="15" thickBot="1" x14ac:dyDescent="0.35">
      <c r="A31" s="14">
        <v>30</v>
      </c>
      <c r="B31" s="15"/>
      <c r="C31" s="16"/>
      <c r="D31" s="17">
        <v>2</v>
      </c>
      <c r="E31" t="s">
        <v>174</v>
      </c>
      <c r="F31" t="s">
        <v>175</v>
      </c>
      <c r="G31" s="23"/>
      <c r="H31" s="12" t="s">
        <v>160</v>
      </c>
      <c r="I31" s="9" t="s">
        <v>12</v>
      </c>
      <c r="J31" s="17">
        <v>24.6</v>
      </c>
      <c r="K31" s="17">
        <v>22</v>
      </c>
      <c r="L31" s="17">
        <v>30.82</v>
      </c>
      <c r="M31" s="17">
        <v>385</v>
      </c>
      <c r="N31" s="17">
        <f>[1]!Tabelle1325[[#This Row],[Anzahl Frames]]/[1]!Tabelle1325[[#This Row],[Aufnahmezeit '[s']]]</f>
        <v>12.5</v>
      </c>
      <c r="O31" s="25">
        <f>1/[1]!Tabelle1325[[#This Row],[Mean fps ]]</f>
        <v>0.08</v>
      </c>
      <c r="P31" s="17"/>
      <c r="Q31" s="20"/>
      <c r="R31" s="21"/>
      <c r="S31" s="17">
        <v>1.2</v>
      </c>
      <c r="T31" s="17">
        <v>0.92300000000000004</v>
      </c>
      <c r="U31" s="17">
        <v>1.6259999999999999</v>
      </c>
      <c r="V31" s="17"/>
      <c r="W31" s="7">
        <f>SUM(S22:S31)/10</f>
        <v>1.3376999999999999</v>
      </c>
      <c r="X31" s="7">
        <f t="shared" ref="X31" si="5">SUM(T22:T31)/10</f>
        <v>1.1421999999999999</v>
      </c>
      <c r="Y31" s="7">
        <f t="shared" ref="Y31" si="6">SUM(U22:U31)/10</f>
        <v>1.8081</v>
      </c>
      <c r="Z31" s="17">
        <f>_xlfn.STDEV.S(S22:S31)</f>
        <v>9.6069477173785264E-2</v>
      </c>
      <c r="AA31" s="17">
        <f>_xlfn.STDEV.S(T22:T31)</f>
        <v>0.11740509169348473</v>
      </c>
      <c r="AB31" s="17">
        <f>_xlfn.STDEV.S(U22:U31)</f>
        <v>0.12099077099790162</v>
      </c>
      <c r="AC31" s="17">
        <f>Tabelle1321011121517[[#This Row],[SD 1]]/Tabelle1321011121517[[#This Row],[Mean Visc. 1 '[mPas']]]</f>
        <v>7.1816907508249442E-2</v>
      </c>
      <c r="AD31" s="17">
        <f>Tabelle1321011121517[[#This Row],[SD 2]]/Tabelle1321011121517[[#This Row],[Mean Visc. 2 '[mPas']2]]</f>
        <v>0.10278855865302464</v>
      </c>
      <c r="AE31" s="17">
        <f>Tabelle1321011121517[[#This Row],[SD 3]]/Tabelle1321011121517[[#This Row],[Mean Visc. 3 '[mPas']3]]</f>
        <v>6.691597311979515E-2</v>
      </c>
    </row>
    <row r="32" spans="1:31" ht="15" thickTop="1" x14ac:dyDescent="0.3">
      <c r="A32">
        <v>31</v>
      </c>
      <c r="B32" s="4"/>
      <c r="C32" s="5"/>
      <c r="D32" s="7">
        <v>2</v>
      </c>
      <c r="E32" t="s">
        <v>174</v>
      </c>
      <c r="F32" t="s">
        <v>175</v>
      </c>
      <c r="G32" s="23"/>
      <c r="H32" s="12" t="s">
        <v>185</v>
      </c>
      <c r="I32" s="9" t="s">
        <v>12</v>
      </c>
      <c r="J32" s="7">
        <v>22.5</v>
      </c>
      <c r="K32" s="7">
        <v>24</v>
      </c>
      <c r="L32" s="7">
        <v>30.41</v>
      </c>
      <c r="M32" s="7">
        <v>384</v>
      </c>
      <c r="N32" s="7">
        <f>[1]!Tabelle1325[[#This Row],[Anzahl Frames]]/[1]!Tabelle1325[[#This Row],[Aufnahmezeit '[s']]]</f>
        <v>12.653478854024556</v>
      </c>
      <c r="O32" s="6">
        <f>1/[1]!Tabelle1325[[#This Row],[Mean fps ]]</f>
        <v>7.902964959568734E-2</v>
      </c>
      <c r="S32" s="7">
        <v>1.097</v>
      </c>
      <c r="T32" s="7">
        <v>0.80400000000000005</v>
      </c>
      <c r="U32" s="7">
        <v>1.05</v>
      </c>
      <c r="V32" s="7"/>
      <c r="W32" s="7"/>
      <c r="X32" s="7"/>
      <c r="Y32" s="7"/>
      <c r="Z32" s="7"/>
      <c r="AA32" s="7"/>
      <c r="AB32" s="7"/>
      <c r="AC32" s="7" t="e">
        <f>Tabelle1321011121517[[#This Row],[SD 1]]/Tabelle1321011121517[[#This Row],[Mean Visc. 1 '[mPas']]]</f>
        <v>#DIV/0!</v>
      </c>
      <c r="AD32" s="7" t="e">
        <f>[1]!Tabelle1325[[#This Row],[SD 2]]/[1]!Tabelle1325[[#This Row],[Mean Visc. 2 '[mPas']2]]</f>
        <v>#DIV/0!</v>
      </c>
      <c r="AE32" s="7" t="e">
        <f>[1]!Tabelle1325[[#This Row],[SD 3]]/[1]!Tabelle1325[[#This Row],[Mean Visc. 3 '[mPas']3]]</f>
        <v>#DIV/0!</v>
      </c>
    </row>
    <row r="33" spans="1:31" s="7" customFormat="1" x14ac:dyDescent="0.3">
      <c r="A33">
        <v>32</v>
      </c>
      <c r="B33" s="4"/>
      <c r="C33" s="5"/>
      <c r="D33" s="7">
        <v>2</v>
      </c>
      <c r="E33" t="s">
        <v>174</v>
      </c>
      <c r="F33" t="s">
        <v>175</v>
      </c>
      <c r="G33" s="23"/>
      <c r="H33" s="12" t="s">
        <v>185</v>
      </c>
      <c r="I33" s="9" t="s">
        <v>12</v>
      </c>
      <c r="J33" s="7">
        <v>22.7</v>
      </c>
      <c r="K33" s="7">
        <v>24</v>
      </c>
      <c r="L33" s="7">
        <v>31.14</v>
      </c>
      <c r="M33" s="7">
        <v>389</v>
      </c>
      <c r="N33" s="7">
        <f>[1]!Tabelle1325[[#This Row],[Anzahl Frames]]/[1]!Tabelle1325[[#This Row],[Aufnahmezeit '[s']]]</f>
        <v>12.5</v>
      </c>
      <c r="O33" s="6">
        <f>1/[1]!Tabelle1325[[#This Row],[Mean fps ]]</f>
        <v>0.08</v>
      </c>
      <c r="Q33" s="3"/>
      <c r="R33" s="11"/>
      <c r="S33" s="7">
        <v>1.01</v>
      </c>
      <c r="T33" s="7">
        <v>0.85899999999999999</v>
      </c>
      <c r="U33" s="7">
        <v>1.5169999999999999</v>
      </c>
      <c r="AC33" s="7" t="e">
        <f>Tabelle1321011121517[[#This Row],[SD 1]]/Tabelle1321011121517[[#This Row],[Mean Visc. 1 '[mPas']]]</f>
        <v>#DIV/0!</v>
      </c>
      <c r="AD33" s="7" t="e">
        <f>[1]!Tabelle1325[[#This Row],[SD 2]]/[1]!Tabelle1325[[#This Row],[Mean Visc. 2 '[mPas']2]]</f>
        <v>#DIV/0!</v>
      </c>
      <c r="AE33" s="7" t="e">
        <f>[1]!Tabelle1325[[#This Row],[SD 3]]/[1]!Tabelle1325[[#This Row],[Mean Visc. 3 '[mPas']3]]</f>
        <v>#DIV/0!</v>
      </c>
    </row>
    <row r="34" spans="1:31" s="7" customFormat="1" x14ac:dyDescent="0.3">
      <c r="A34">
        <v>33</v>
      </c>
      <c r="B34" s="4"/>
      <c r="C34" s="5"/>
      <c r="D34" s="7">
        <v>2</v>
      </c>
      <c r="E34" t="s">
        <v>174</v>
      </c>
      <c r="F34" t="s">
        <v>175</v>
      </c>
      <c r="G34" s="23"/>
      <c r="H34" s="12" t="s">
        <v>185</v>
      </c>
      <c r="I34" s="9" t="s">
        <v>12</v>
      </c>
      <c r="J34" s="7">
        <v>22.8</v>
      </c>
      <c r="K34" s="7">
        <v>24</v>
      </c>
      <c r="L34" s="7">
        <v>31.6</v>
      </c>
      <c r="M34" s="7">
        <v>395</v>
      </c>
      <c r="N34" s="7">
        <f>[1]!Tabelle1325[[#This Row],[Anzahl Frames]]/[1]!Tabelle1325[[#This Row],[Aufnahmezeit '[s']]]</f>
        <v>12.533422459893048</v>
      </c>
      <c r="O34" s="6">
        <f>1/[1]!Tabelle1325[[#This Row],[Mean fps ]]</f>
        <v>7.9786666666666672E-2</v>
      </c>
      <c r="Q34" s="3"/>
      <c r="R34" s="11"/>
      <c r="S34" s="7">
        <v>1.0649999999999999</v>
      </c>
      <c r="T34" s="7">
        <v>0.878</v>
      </c>
      <c r="U34" s="7">
        <v>1.49</v>
      </c>
      <c r="AC34" s="7" t="e">
        <f>Tabelle1321011121517[[#This Row],[SD 1]]/Tabelle1321011121517[[#This Row],[Mean Visc. 1 '[mPas']]]</f>
        <v>#DIV/0!</v>
      </c>
      <c r="AD34" s="7" t="e">
        <f>[1]!Tabelle1325[[#This Row],[SD 2]]/[1]!Tabelle1325[[#This Row],[Mean Visc. 2 '[mPas']2]]</f>
        <v>#DIV/0!</v>
      </c>
      <c r="AE34" s="7" t="e">
        <f>[1]!Tabelle1325[[#This Row],[SD 3]]/[1]!Tabelle1325[[#This Row],[Mean Visc. 3 '[mPas']3]]</f>
        <v>#DIV/0!</v>
      </c>
    </row>
    <row r="35" spans="1:31" s="7" customFormat="1" x14ac:dyDescent="0.3">
      <c r="A35">
        <v>34</v>
      </c>
      <c r="B35" s="4"/>
      <c r="C35" s="5"/>
      <c r="D35" s="7">
        <v>2</v>
      </c>
      <c r="E35" t="s">
        <v>174</v>
      </c>
      <c r="F35" t="s">
        <v>175</v>
      </c>
      <c r="G35" s="23"/>
      <c r="H35" s="12" t="s">
        <v>185</v>
      </c>
      <c r="I35" s="9" t="s">
        <v>12</v>
      </c>
      <c r="J35" s="7">
        <v>23</v>
      </c>
      <c r="K35" s="7">
        <v>24</v>
      </c>
      <c r="L35" s="7">
        <v>32.56</v>
      </c>
      <c r="M35" s="7">
        <v>407</v>
      </c>
      <c r="N35" s="7">
        <f>[1]!Tabelle1325[[#This Row],[Anzahl Frames]]/[1]!Tabelle1325[[#This Row],[Aufnahmezeit '[s']]]</f>
        <v>12.491971740526653</v>
      </c>
      <c r="O35" s="6">
        <f>1/[1]!Tabelle1325[[#This Row],[Mean fps ]]</f>
        <v>8.0051413881748079E-2</v>
      </c>
      <c r="Q35" s="3"/>
      <c r="R35" s="11"/>
      <c r="S35" s="7">
        <v>1.06</v>
      </c>
      <c r="T35" s="7">
        <v>0.63400000000000001</v>
      </c>
      <c r="U35" s="7">
        <v>1.429</v>
      </c>
      <c r="AC35" s="7" t="e">
        <f>Tabelle1321011121517[[#This Row],[SD 1]]/Tabelle1321011121517[[#This Row],[Mean Visc. 1 '[mPas']]]</f>
        <v>#DIV/0!</v>
      </c>
      <c r="AD35" s="7" t="e">
        <f>[1]!Tabelle1325[[#This Row],[SD 2]]/[1]!Tabelle1325[[#This Row],[Mean Visc. 2 '[mPas']2]]</f>
        <v>#DIV/0!</v>
      </c>
      <c r="AE35" s="7" t="e">
        <f>[1]!Tabelle1325[[#This Row],[SD 3]]/[1]!Tabelle1325[[#This Row],[Mean Visc. 3 '[mPas']3]]</f>
        <v>#DIV/0!</v>
      </c>
    </row>
    <row r="36" spans="1:31" s="17" customFormat="1" ht="15" thickBot="1" x14ac:dyDescent="0.35">
      <c r="A36" s="14">
        <v>35</v>
      </c>
      <c r="B36" s="15"/>
      <c r="C36" s="16"/>
      <c r="D36" s="7">
        <v>2</v>
      </c>
      <c r="E36" t="s">
        <v>174</v>
      </c>
      <c r="F36" t="s">
        <v>175</v>
      </c>
      <c r="G36" s="23"/>
      <c r="H36" s="12" t="s">
        <v>185</v>
      </c>
      <c r="I36" s="9" t="s">
        <v>12</v>
      </c>
      <c r="J36" s="17">
        <v>23</v>
      </c>
      <c r="K36" s="17">
        <v>24</v>
      </c>
      <c r="L36" s="17">
        <v>31.12</v>
      </c>
      <c r="M36" s="17">
        <v>389</v>
      </c>
      <c r="N36" s="17">
        <f>[1]!Tabelle1325[[#This Row],[Anzahl Frames]]/[1]!Tabelle1325[[#This Row],[Aufnahmezeit '[s']]]</f>
        <v>12.53315649867374</v>
      </c>
      <c r="O36" s="25">
        <f>1/[1]!Tabelle1325[[#This Row],[Mean fps ]]</f>
        <v>7.9788359788359783E-2</v>
      </c>
      <c r="Q36" s="20"/>
      <c r="R36" s="21"/>
      <c r="S36" s="17">
        <v>1.0880000000000001</v>
      </c>
      <c r="T36" s="17">
        <v>0.92100000000000004</v>
      </c>
      <c r="U36" s="17">
        <v>1.385</v>
      </c>
      <c r="AC36" s="17" t="e">
        <f>Tabelle1321011121517[[#This Row],[SD 1]]/Tabelle1321011121517[[#This Row],[Mean Visc. 1 '[mPas']]]</f>
        <v>#DIV/0!</v>
      </c>
      <c r="AD36" s="17" t="e">
        <f>[1]!Tabelle1325[[#This Row],[SD 2]]/[1]!Tabelle1325[[#This Row],[Mean Visc. 2 '[mPas']2]]</f>
        <v>#DIV/0!</v>
      </c>
      <c r="AE36" s="17" t="e">
        <f>[1]!Tabelle1325[[#This Row],[SD 3]]/[1]!Tabelle1325[[#This Row],[Mean Visc. 3 '[mPas']3]]</f>
        <v>#DIV/0!</v>
      </c>
    </row>
    <row r="37" spans="1:31" s="7" customFormat="1" ht="15" thickTop="1" x14ac:dyDescent="0.3">
      <c r="A37">
        <v>36</v>
      </c>
      <c r="B37" s="4"/>
      <c r="C37" s="5"/>
      <c r="D37" s="7">
        <v>2</v>
      </c>
      <c r="E37" t="s">
        <v>174</v>
      </c>
      <c r="F37" t="s">
        <v>175</v>
      </c>
      <c r="G37" s="23"/>
      <c r="H37" s="12" t="s">
        <v>185</v>
      </c>
      <c r="I37" s="9" t="s">
        <v>12</v>
      </c>
      <c r="J37" s="7">
        <v>23.3</v>
      </c>
      <c r="K37" s="7">
        <v>24</v>
      </c>
      <c r="L37" s="7">
        <v>31.78</v>
      </c>
      <c r="M37" s="7">
        <v>397</v>
      </c>
      <c r="N37" s="7">
        <f>[1]!Tabelle1325[[#This Row],[Anzahl Frames]]/[1]!Tabelle1325[[#This Row],[Aufnahmezeit '[s']]]</f>
        <v>12.53415300546448</v>
      </c>
      <c r="O37" s="6">
        <f>1/[1]!Tabelle1325[[#This Row],[Mean fps ]]</f>
        <v>7.978201634877384E-2</v>
      </c>
      <c r="Q37" s="3"/>
      <c r="R37" s="11"/>
      <c r="S37" s="7">
        <v>1.081</v>
      </c>
      <c r="T37" s="7">
        <v>0.873</v>
      </c>
      <c r="U37" s="7">
        <v>1.4570000000000001</v>
      </c>
      <c r="AC37" s="7" t="e">
        <f>Tabelle1321011121517[[#This Row],[SD 1]]/Tabelle1321011121517[[#This Row],[Mean Visc. 1 '[mPas']]]</f>
        <v>#DIV/0!</v>
      </c>
      <c r="AD37" s="7" t="e">
        <f>[1]!Tabelle1325[[#This Row],[SD 2]]/[1]!Tabelle1325[[#This Row],[Mean Visc. 2 '[mPas']2]]</f>
        <v>#DIV/0!</v>
      </c>
      <c r="AE37" s="7" t="e">
        <f>[1]!Tabelle1325[[#This Row],[SD 3]]/[1]!Tabelle1325[[#This Row],[Mean Visc. 3 '[mPas']3]]</f>
        <v>#DIV/0!</v>
      </c>
    </row>
    <row r="38" spans="1:31" s="7" customFormat="1" x14ac:dyDescent="0.3">
      <c r="A38">
        <v>37</v>
      </c>
      <c r="B38" s="4"/>
      <c r="C38" s="5"/>
      <c r="D38" s="7">
        <v>2</v>
      </c>
      <c r="E38" t="s">
        <v>174</v>
      </c>
      <c r="F38" t="s">
        <v>175</v>
      </c>
      <c r="G38" s="23"/>
      <c r="H38" s="12" t="s">
        <v>185</v>
      </c>
      <c r="I38" s="9" t="s">
        <v>12</v>
      </c>
      <c r="J38" s="7">
        <v>23.3</v>
      </c>
      <c r="K38" s="7">
        <v>24</v>
      </c>
      <c r="L38" s="7">
        <v>30.08</v>
      </c>
      <c r="M38" s="7">
        <v>376</v>
      </c>
      <c r="N38" s="7">
        <f>[1]!Tabelle1325[[#This Row],[Anzahl Frames]]/[1]!Tabelle1325[[#This Row],[Aufnahmezeit '[s']]]</f>
        <v>12.5</v>
      </c>
      <c r="O38" s="6">
        <f>1/[1]!Tabelle1325[[#This Row],[Mean fps ]]</f>
        <v>0.08</v>
      </c>
      <c r="Q38" s="3"/>
      <c r="R38" s="11"/>
      <c r="S38" s="7">
        <v>1.1419999999999999</v>
      </c>
      <c r="T38" s="7">
        <v>0.94899999999999995</v>
      </c>
      <c r="U38" s="7">
        <v>1.4350000000000001</v>
      </c>
      <c r="AC38" s="7" t="e">
        <f>Tabelle1321011121517[[#This Row],[SD 1]]/Tabelle1321011121517[[#This Row],[Mean Visc. 1 '[mPas']]]</f>
        <v>#DIV/0!</v>
      </c>
      <c r="AD38" s="7" t="e">
        <f>[1]!Tabelle1325[[#This Row],[SD 2]]/[1]!Tabelle1325[[#This Row],[Mean Visc. 2 '[mPas']2]]</f>
        <v>#DIV/0!</v>
      </c>
      <c r="AE38" s="7" t="e">
        <f>[1]!Tabelle1325[[#This Row],[SD 3]]/[1]!Tabelle1325[[#This Row],[Mean Visc. 3 '[mPas']3]]</f>
        <v>#DIV/0!</v>
      </c>
    </row>
    <row r="39" spans="1:31" s="7" customFormat="1" x14ac:dyDescent="0.3">
      <c r="A39">
        <v>38</v>
      </c>
      <c r="B39" s="4"/>
      <c r="C39" s="5"/>
      <c r="D39" s="7">
        <v>2</v>
      </c>
      <c r="E39" t="s">
        <v>174</v>
      </c>
      <c r="F39" t="s">
        <v>175</v>
      </c>
      <c r="G39" s="23"/>
      <c r="H39" s="12" t="s">
        <v>185</v>
      </c>
      <c r="I39" s="9" t="s">
        <v>12</v>
      </c>
      <c r="J39" s="7">
        <v>23.4</v>
      </c>
      <c r="K39" s="7">
        <v>24</v>
      </c>
      <c r="L39" s="7">
        <v>30.88</v>
      </c>
      <c r="M39" s="7">
        <v>386</v>
      </c>
      <c r="N39" s="7">
        <f>[1]!Tabelle1325[[#This Row],[Anzahl Frames]]/[1]!Tabelle1325[[#This Row],[Aufnahmezeit '[s']]]</f>
        <v>12.53315649867374</v>
      </c>
      <c r="O39" s="6">
        <f>1/[1]!Tabelle1325[[#This Row],[Mean fps ]]</f>
        <v>7.9788359788359783E-2</v>
      </c>
      <c r="Q39" s="3"/>
      <c r="R39" s="11"/>
      <c r="S39" s="7">
        <v>1.0489999999999999</v>
      </c>
      <c r="T39" s="7">
        <v>0.84199999999999997</v>
      </c>
      <c r="U39" s="7">
        <v>1.528</v>
      </c>
      <c r="AC39" s="7" t="e">
        <f>Tabelle1321011121517[[#This Row],[SD 1]]/Tabelle1321011121517[[#This Row],[Mean Visc. 1 '[mPas']]]</f>
        <v>#DIV/0!</v>
      </c>
      <c r="AD39" s="7" t="e">
        <f>[1]!Tabelle1325[[#This Row],[SD 2]]/[1]!Tabelle1325[[#This Row],[Mean Visc. 2 '[mPas']2]]</f>
        <v>#DIV/0!</v>
      </c>
      <c r="AE39" s="7" t="e">
        <f>[1]!Tabelle1325[[#This Row],[SD 3]]/[1]!Tabelle1325[[#This Row],[Mean Visc. 3 '[mPas']3]]</f>
        <v>#DIV/0!</v>
      </c>
    </row>
    <row r="40" spans="1:31" s="7" customFormat="1" x14ac:dyDescent="0.3">
      <c r="A40">
        <v>39</v>
      </c>
      <c r="B40" s="4"/>
      <c r="C40" s="5"/>
      <c r="D40" s="7">
        <v>2</v>
      </c>
      <c r="E40" t="s">
        <v>174</v>
      </c>
      <c r="F40" t="s">
        <v>175</v>
      </c>
      <c r="G40" s="23"/>
      <c r="H40" s="12" t="s">
        <v>185</v>
      </c>
      <c r="I40" s="9" t="s">
        <v>12</v>
      </c>
      <c r="J40" s="7">
        <v>23.5</v>
      </c>
      <c r="K40" s="7">
        <v>24</v>
      </c>
      <c r="L40" s="7">
        <v>30.64</v>
      </c>
      <c r="M40" s="7">
        <v>383</v>
      </c>
      <c r="N40" s="7">
        <f>[1]!Tabelle1325[[#This Row],[Anzahl Frames]]/[1]!Tabelle1325[[#This Row],[Aufnahmezeit '[s']]]</f>
        <v>12.5</v>
      </c>
      <c r="O40" s="6">
        <f>1/[1]!Tabelle1325[[#This Row],[Mean fps ]]</f>
        <v>0.08</v>
      </c>
      <c r="Q40" s="3"/>
      <c r="R40" s="11"/>
      <c r="S40" s="7">
        <v>0.98899999999999999</v>
      </c>
      <c r="T40" s="7">
        <v>0.83699999999999997</v>
      </c>
      <c r="U40" s="7">
        <v>1.3160000000000001</v>
      </c>
      <c r="AC40" s="7" t="e">
        <f>Tabelle1321011121517[[#This Row],[SD 1]]/Tabelle1321011121517[[#This Row],[Mean Visc. 1 '[mPas']]]</f>
        <v>#DIV/0!</v>
      </c>
      <c r="AD40" s="7" t="e">
        <f>[1]!Tabelle1325[[#This Row],[SD 2]]/[1]!Tabelle1325[[#This Row],[Mean Visc. 2 '[mPas']2]]</f>
        <v>#DIV/0!</v>
      </c>
      <c r="AE40" s="7" t="e">
        <f>[1]!Tabelle1325[[#This Row],[SD 3]]/[1]!Tabelle1325[[#This Row],[Mean Visc. 3 '[mPas']3]]</f>
        <v>#DIV/0!</v>
      </c>
    </row>
    <row r="41" spans="1:31" s="17" customFormat="1" ht="15" thickBot="1" x14ac:dyDescent="0.35">
      <c r="A41" s="14">
        <v>40</v>
      </c>
      <c r="B41" s="4"/>
      <c r="C41" s="16"/>
      <c r="D41" s="17">
        <v>2</v>
      </c>
      <c r="E41" t="s">
        <v>174</v>
      </c>
      <c r="F41" t="s">
        <v>175</v>
      </c>
      <c r="G41" s="23"/>
      <c r="H41" s="12" t="s">
        <v>185</v>
      </c>
      <c r="I41" s="9" t="s">
        <v>12</v>
      </c>
      <c r="J41" s="17">
        <v>23.5</v>
      </c>
      <c r="K41" s="17">
        <v>24</v>
      </c>
      <c r="L41" s="17">
        <v>30.72</v>
      </c>
      <c r="M41" s="17">
        <v>384</v>
      </c>
      <c r="N41" s="17">
        <f>[1]!Tabelle1325[[#This Row],[Anzahl Frames]]/[1]!Tabelle1325[[#This Row],[Aufnahmezeit '[s']]]</f>
        <v>12.5</v>
      </c>
      <c r="O41" s="25">
        <f>1/[1]!Tabelle1325[[#This Row],[Mean fps ]]</f>
        <v>0.08</v>
      </c>
      <c r="Q41" s="20"/>
      <c r="R41" s="21"/>
      <c r="S41" s="17">
        <v>1.0249999999999999</v>
      </c>
      <c r="T41" s="17">
        <v>0.88900000000000001</v>
      </c>
      <c r="U41" s="17">
        <v>1.4910000000000001</v>
      </c>
      <c r="W41" s="7">
        <f>SUM(S32:S41)/10</f>
        <v>1.0606</v>
      </c>
      <c r="X41" s="7">
        <f t="shared" ref="X41" si="7">SUM(T32:T41)/10</f>
        <v>0.84859999999999991</v>
      </c>
      <c r="Y41" s="7">
        <f t="shared" ref="Y41" si="8">SUM(U32:U41)/10</f>
        <v>1.4098000000000002</v>
      </c>
      <c r="Z41" s="17">
        <f>_xlfn.STDEV.S(S32:S41)</f>
        <v>4.5001728361870226E-2</v>
      </c>
      <c r="AA41" s="17">
        <f>_xlfn.STDEV.S(T32:T41)</f>
        <v>8.6115168363199643E-2</v>
      </c>
      <c r="AB41" s="17">
        <f>_xlfn.STDEV.S(U32:U41)</f>
        <v>0.14165278363347156</v>
      </c>
      <c r="AC41" s="17">
        <f>Tabelle1321011121517[[#This Row],[SD 1]]/Tabelle1321011121517[[#This Row],[Mean Visc. 1 '[mPas']]]</f>
        <v>4.2430443486583279E-2</v>
      </c>
      <c r="AD41" s="17">
        <f>Tabelle1321011121517[[#This Row],[SD 2]]/Tabelle1321011121517[[#This Row],[Mean Visc. 2 '[mPas']2]]</f>
        <v>0.10147910483525766</v>
      </c>
      <c r="AE41" s="17">
        <f>Tabelle1321011121517[[#This Row],[SD 3]]/Tabelle1321011121517[[#This Row],[Mean Visc. 3 '[mPas']3]]</f>
        <v>0.10047721920376758</v>
      </c>
    </row>
    <row r="42" spans="1:31" s="7" customFormat="1" ht="15" thickTop="1" x14ac:dyDescent="0.3">
      <c r="A42">
        <v>41</v>
      </c>
      <c r="B42" s="4"/>
      <c r="C42" s="5"/>
      <c r="D42" s="7">
        <v>3</v>
      </c>
      <c r="E42" t="s">
        <v>183</v>
      </c>
      <c r="F42" t="s">
        <v>166</v>
      </c>
      <c r="G42" s="23"/>
      <c r="H42" s="12" t="s">
        <v>160</v>
      </c>
      <c r="I42" s="9" t="s">
        <v>12</v>
      </c>
      <c r="J42" s="7">
        <v>23.2</v>
      </c>
      <c r="K42" s="7">
        <v>10</v>
      </c>
      <c r="L42" s="7">
        <v>30.48</v>
      </c>
      <c r="M42" s="7">
        <v>381</v>
      </c>
      <c r="N42" s="7">
        <f>[1]!Tabelle1325[[#This Row],[Anzahl Frames]]/[1]!Tabelle1325[[#This Row],[Aufnahmezeit '[s']]]</f>
        <v>12.5</v>
      </c>
      <c r="O42" s="6">
        <f>1/[1]!Tabelle1325[[#This Row],[Mean fps ]]</f>
        <v>0.08</v>
      </c>
      <c r="Q42" s="3"/>
      <c r="R42" s="11"/>
      <c r="S42" s="7">
        <v>1.306</v>
      </c>
      <c r="T42" s="7">
        <v>1.0149999999999999</v>
      </c>
      <c r="U42" s="7">
        <v>1.774</v>
      </c>
      <c r="AC42" s="7" t="e">
        <f>Tabelle1321011121517[[#This Row],[SD 1]]/Tabelle1321011121517[[#This Row],[Mean Visc. 1 '[mPas']]]</f>
        <v>#DIV/0!</v>
      </c>
      <c r="AD42" s="7" t="e">
        <f>[1]!Tabelle1325[[#This Row],[SD 2]]/[1]!Tabelle1325[[#This Row],[Mean Visc. 2 '[mPas']2]]</f>
        <v>#DIV/0!</v>
      </c>
      <c r="AE42" s="7" t="e">
        <f>[1]!Tabelle1325[[#This Row],[SD 3]]/[1]!Tabelle1325[[#This Row],[Mean Visc. 3 '[mPas']3]]</f>
        <v>#DIV/0!</v>
      </c>
    </row>
    <row r="43" spans="1:31" s="7" customFormat="1" x14ac:dyDescent="0.3">
      <c r="A43">
        <v>42</v>
      </c>
      <c r="B43" s="4"/>
      <c r="C43" s="5"/>
      <c r="D43" s="7">
        <v>3</v>
      </c>
      <c r="E43" t="s">
        <v>183</v>
      </c>
      <c r="F43" t="s">
        <v>166</v>
      </c>
      <c r="G43" s="23"/>
      <c r="H43" s="12" t="s">
        <v>160</v>
      </c>
      <c r="I43" s="9" t="s">
        <v>12</v>
      </c>
      <c r="J43" s="7">
        <v>23.3</v>
      </c>
      <c r="K43" s="7">
        <v>10</v>
      </c>
      <c r="L43" s="7">
        <v>32.08</v>
      </c>
      <c r="M43" s="7">
        <v>401</v>
      </c>
      <c r="N43" s="7">
        <f>[1]!Tabelle1325[[#This Row],[Anzahl Frames]]/[1]!Tabelle1325[[#This Row],[Aufnahmezeit '[s']]]</f>
        <v>12.455167916530812</v>
      </c>
      <c r="O43" s="6">
        <f>1/[1]!Tabelle1325[[#This Row],[Mean fps ]]</f>
        <v>8.0287958115183244E-2</v>
      </c>
      <c r="Q43" s="3"/>
      <c r="R43" s="11"/>
      <c r="S43" s="7">
        <v>1.4219999999999999</v>
      </c>
      <c r="T43" s="7">
        <v>1.097</v>
      </c>
      <c r="U43" s="7">
        <v>1.792</v>
      </c>
      <c r="AC43" s="7" t="e">
        <f>Tabelle1321011121517[[#This Row],[SD 1]]/Tabelle1321011121517[[#This Row],[Mean Visc. 1 '[mPas']]]</f>
        <v>#DIV/0!</v>
      </c>
      <c r="AD43" s="7" t="e">
        <f>[1]!Tabelle1325[[#This Row],[SD 2]]/[1]!Tabelle1325[[#This Row],[Mean Visc. 2 '[mPas']2]]</f>
        <v>#DIV/0!</v>
      </c>
      <c r="AE43" s="7" t="e">
        <f>[1]!Tabelle1325[[#This Row],[SD 3]]/[1]!Tabelle1325[[#This Row],[Mean Visc. 3 '[mPas']3]]</f>
        <v>#DIV/0!</v>
      </c>
    </row>
    <row r="44" spans="1:31" s="7" customFormat="1" x14ac:dyDescent="0.3">
      <c r="A44">
        <v>43</v>
      </c>
      <c r="B44" s="4"/>
      <c r="C44" s="5"/>
      <c r="D44" s="7">
        <v>3</v>
      </c>
      <c r="E44" t="s">
        <v>183</v>
      </c>
      <c r="F44" t="s">
        <v>166</v>
      </c>
      <c r="G44" s="23"/>
      <c r="H44" s="12" t="s">
        <v>160</v>
      </c>
      <c r="I44" s="9" t="s">
        <v>12</v>
      </c>
      <c r="J44" s="7">
        <v>23.3</v>
      </c>
      <c r="K44" s="7">
        <v>10</v>
      </c>
      <c r="L44" s="7">
        <v>30.64</v>
      </c>
      <c r="M44" s="7">
        <v>384</v>
      </c>
      <c r="N44" s="7">
        <f>[1]!Tabelle1325[[#This Row],[Anzahl Frames]]/[1]!Tabelle1325[[#This Row],[Aufnahmezeit '[s']]]</f>
        <v>12.5</v>
      </c>
      <c r="O44" s="6">
        <f>1/[1]!Tabelle1325[[#This Row],[Mean fps ]]</f>
        <v>0.08</v>
      </c>
      <c r="Q44" s="3"/>
      <c r="R44" s="11"/>
      <c r="S44" s="7">
        <v>1.3919999999999999</v>
      </c>
      <c r="T44" s="7">
        <v>1.129</v>
      </c>
      <c r="U44" s="7">
        <v>1.7350000000000001</v>
      </c>
      <c r="AC44" s="7" t="e">
        <f>Tabelle1321011121517[[#This Row],[SD 1]]/Tabelle1321011121517[[#This Row],[Mean Visc. 1 '[mPas']]]</f>
        <v>#DIV/0!</v>
      </c>
      <c r="AD44" s="7" t="e">
        <f>[1]!Tabelle1325[[#This Row],[SD 2]]/[1]!Tabelle1325[[#This Row],[Mean Visc. 2 '[mPas']2]]</f>
        <v>#DIV/0!</v>
      </c>
      <c r="AE44" s="7" t="e">
        <f>[1]!Tabelle1325[[#This Row],[SD 3]]/[1]!Tabelle1325[[#This Row],[Mean Visc. 3 '[mPas']3]]</f>
        <v>#DIV/0!</v>
      </c>
    </row>
    <row r="45" spans="1:31" s="7" customFormat="1" x14ac:dyDescent="0.3">
      <c r="A45">
        <v>44</v>
      </c>
      <c r="B45" s="4"/>
      <c r="C45" s="5"/>
      <c r="D45" s="7">
        <v>3</v>
      </c>
      <c r="E45" t="s">
        <v>183</v>
      </c>
      <c r="F45" t="s">
        <v>166</v>
      </c>
      <c r="G45" s="23"/>
      <c r="H45" s="12" t="s">
        <v>160</v>
      </c>
      <c r="I45" s="9" t="s">
        <v>12</v>
      </c>
      <c r="J45" s="7">
        <v>23.4</v>
      </c>
      <c r="K45" s="7">
        <v>10</v>
      </c>
      <c r="L45" s="7">
        <v>30.8</v>
      </c>
      <c r="M45" s="7">
        <v>385</v>
      </c>
      <c r="N45" s="7">
        <f>[1]!Tabelle1325[[#This Row],[Anzahl Frames]]/[1]!Tabelle1325[[#This Row],[Aufnahmezeit '[s']]]</f>
        <v>12.508338892595063</v>
      </c>
      <c r="O45" s="6">
        <f>1/[1]!Tabelle1325[[#This Row],[Mean fps ]]</f>
        <v>7.9946666666666666E-2</v>
      </c>
      <c r="Q45" s="3"/>
      <c r="R45" s="11"/>
      <c r="S45" s="7">
        <v>1.4079999999999999</v>
      </c>
      <c r="T45" s="7">
        <v>1.036</v>
      </c>
      <c r="U45" s="7">
        <v>1.7470000000000001</v>
      </c>
      <c r="AC45" s="7" t="e">
        <f>Tabelle1321011121517[[#This Row],[SD 1]]/Tabelle1321011121517[[#This Row],[Mean Visc. 1 '[mPas']]]</f>
        <v>#DIV/0!</v>
      </c>
      <c r="AD45" s="7" t="e">
        <f>[1]!Tabelle1325[[#This Row],[SD 2]]/[1]!Tabelle1325[[#This Row],[Mean Visc. 2 '[mPas']2]]</f>
        <v>#DIV/0!</v>
      </c>
      <c r="AE45" s="7" t="e">
        <f>[1]!Tabelle1325[[#This Row],[SD 3]]/[1]!Tabelle1325[[#This Row],[Mean Visc. 3 '[mPas']3]]</f>
        <v>#DIV/0!</v>
      </c>
    </row>
    <row r="46" spans="1:31" s="17" customFormat="1" ht="15" thickBot="1" x14ac:dyDescent="0.35">
      <c r="A46" s="14">
        <v>45</v>
      </c>
      <c r="B46" s="4"/>
      <c r="C46" s="16"/>
      <c r="D46" s="17">
        <v>3</v>
      </c>
      <c r="E46" t="s">
        <v>183</v>
      </c>
      <c r="F46" t="s">
        <v>166</v>
      </c>
      <c r="G46" s="24"/>
      <c r="H46" s="12" t="s">
        <v>160</v>
      </c>
      <c r="I46" s="9" t="s">
        <v>12</v>
      </c>
      <c r="J46" s="7">
        <v>23.5</v>
      </c>
      <c r="K46" s="7">
        <v>10</v>
      </c>
      <c r="L46" s="7">
        <v>30.56</v>
      </c>
      <c r="M46" s="7">
        <v>382</v>
      </c>
      <c r="N46" s="17">
        <f>[1]!Tabelle1325[[#This Row],[Anzahl Frames]]/[1]!Tabelle1325[[#This Row],[Aufnahmezeit '[s']]]</f>
        <v>12.5</v>
      </c>
      <c r="O46" s="25">
        <f>1/[1]!Tabelle1325[[#This Row],[Mean fps ]]</f>
        <v>0.08</v>
      </c>
      <c r="Q46" s="20"/>
      <c r="R46" s="21"/>
      <c r="S46" s="7">
        <v>1.296</v>
      </c>
      <c r="T46" s="7">
        <v>1</v>
      </c>
      <c r="U46" s="7">
        <v>1.609</v>
      </c>
      <c r="AC46" s="17" t="e">
        <f>Tabelle1321011121517[[#This Row],[SD 1]]/Tabelle1321011121517[[#This Row],[Mean Visc. 1 '[mPas']]]</f>
        <v>#DIV/0!</v>
      </c>
      <c r="AD46" s="17" t="e">
        <f>[1]!Tabelle1325[[#This Row],[SD 2]]/[1]!Tabelle1325[[#This Row],[Mean Visc. 2 '[mPas']2]]</f>
        <v>#DIV/0!</v>
      </c>
      <c r="AE46" s="17" t="e">
        <f>[1]!Tabelle1325[[#This Row],[SD 3]]/[1]!Tabelle1325[[#This Row],[Mean Visc. 3 '[mPas']3]]</f>
        <v>#DIV/0!</v>
      </c>
    </row>
    <row r="47" spans="1:31" s="7" customFormat="1" ht="15" thickTop="1" x14ac:dyDescent="0.3">
      <c r="A47">
        <v>46</v>
      </c>
      <c r="B47" s="4"/>
      <c r="C47" s="5"/>
      <c r="D47" s="7">
        <v>3</v>
      </c>
      <c r="E47" t="s">
        <v>183</v>
      </c>
      <c r="F47" t="s">
        <v>166</v>
      </c>
      <c r="G47" s="23"/>
      <c r="H47" s="12" t="s">
        <v>160</v>
      </c>
      <c r="I47" s="9" t="s">
        <v>12</v>
      </c>
      <c r="J47" s="7">
        <v>23.6</v>
      </c>
      <c r="K47" s="7">
        <v>10</v>
      </c>
      <c r="L47" s="7">
        <v>31.76</v>
      </c>
      <c r="M47" s="7">
        <v>397</v>
      </c>
      <c r="N47" s="7">
        <f>[1]!Tabelle1325[[#This Row],[Anzahl Frames]]/[1]!Tabelle1325[[#This Row],[Aufnahmezeit '[s']]]</f>
        <v>12.508316699933467</v>
      </c>
      <c r="O47" s="6">
        <f>1/[1]!Tabelle1325[[#This Row],[Mean fps ]]</f>
        <v>7.9946808510638304E-2</v>
      </c>
      <c r="Q47" s="3"/>
      <c r="R47" s="11"/>
      <c r="S47" s="7">
        <v>1.421</v>
      </c>
      <c r="T47" s="7">
        <v>1.141</v>
      </c>
      <c r="U47" s="7">
        <v>1.7649999999999999</v>
      </c>
      <c r="AC47" s="7" t="e">
        <f>Tabelle1321011121517[[#This Row],[SD 1]]/Tabelle1321011121517[[#This Row],[Mean Visc. 1 '[mPas']]]</f>
        <v>#DIV/0!</v>
      </c>
      <c r="AD47" s="7" t="e">
        <f>[1]!Tabelle1325[[#This Row],[SD 2]]/[1]!Tabelle1325[[#This Row],[Mean Visc. 2 '[mPas']2]]</f>
        <v>#DIV/0!</v>
      </c>
      <c r="AE47" s="7" t="e">
        <f>[1]!Tabelle1325[[#This Row],[SD 3]]/[1]!Tabelle1325[[#This Row],[Mean Visc. 3 '[mPas']3]]</f>
        <v>#DIV/0!</v>
      </c>
    </row>
    <row r="48" spans="1:31" s="7" customFormat="1" x14ac:dyDescent="0.3">
      <c r="A48">
        <v>47</v>
      </c>
      <c r="B48" s="4"/>
      <c r="C48" s="5"/>
      <c r="D48" s="7">
        <v>3</v>
      </c>
      <c r="E48" t="s">
        <v>183</v>
      </c>
      <c r="F48" t="s">
        <v>166</v>
      </c>
      <c r="G48" s="23"/>
      <c r="H48" s="12" t="s">
        <v>160</v>
      </c>
      <c r="I48" s="9" t="s">
        <v>12</v>
      </c>
      <c r="J48" s="7">
        <v>23.7</v>
      </c>
      <c r="K48" s="7">
        <v>10</v>
      </c>
      <c r="L48" s="7">
        <v>32</v>
      </c>
      <c r="M48" s="7">
        <v>401</v>
      </c>
      <c r="N48" s="7">
        <f>[1]!Tabelle1325[[#This Row],[Anzahl Frames]]/[1]!Tabelle1325[[#This Row],[Aufnahmezeit '[s']]]</f>
        <v>12.508294625082947</v>
      </c>
      <c r="O48" s="6">
        <f>1/[1]!Tabelle1325[[#This Row],[Mean fps ]]</f>
        <v>7.9946949602122008E-2</v>
      </c>
      <c r="Q48" s="3"/>
      <c r="R48" s="11"/>
      <c r="S48" s="7">
        <v>1.105</v>
      </c>
      <c r="T48" s="7">
        <v>0.93300000000000005</v>
      </c>
      <c r="U48" s="7">
        <v>1.504</v>
      </c>
      <c r="AC48" s="7" t="e">
        <f>Tabelle1321011121517[[#This Row],[SD 1]]/Tabelle1321011121517[[#This Row],[Mean Visc. 1 '[mPas']]]</f>
        <v>#DIV/0!</v>
      </c>
      <c r="AD48" s="7" t="e">
        <f>[1]!Tabelle1325[[#This Row],[SD 2]]/[1]!Tabelle1325[[#This Row],[Mean Visc. 2 '[mPas']2]]</f>
        <v>#DIV/0!</v>
      </c>
      <c r="AE48" s="7" t="e">
        <f>[1]!Tabelle1325[[#This Row],[SD 3]]/[1]!Tabelle1325[[#This Row],[Mean Visc. 3 '[mPas']3]]</f>
        <v>#DIV/0!</v>
      </c>
    </row>
    <row r="49" spans="1:31" s="7" customFormat="1" x14ac:dyDescent="0.3">
      <c r="A49">
        <v>48</v>
      </c>
      <c r="B49" s="4"/>
      <c r="C49" s="5"/>
      <c r="D49" s="7">
        <v>3</v>
      </c>
      <c r="E49" t="s">
        <v>183</v>
      </c>
      <c r="F49" t="s">
        <v>166</v>
      </c>
      <c r="G49" s="23"/>
      <c r="H49" s="12" t="s">
        <v>160</v>
      </c>
      <c r="I49" s="9" t="s">
        <v>12</v>
      </c>
      <c r="J49" s="7">
        <v>23.7</v>
      </c>
      <c r="K49" s="7">
        <v>10</v>
      </c>
      <c r="L49" s="7">
        <v>31.52</v>
      </c>
      <c r="M49" s="7">
        <v>394</v>
      </c>
      <c r="N49" s="7">
        <f>[1]!Tabelle1325[[#This Row],[Anzahl Frames]]/[1]!Tabelle1325[[#This Row],[Aufnahmezeit '[s']]]</f>
        <v>12.5</v>
      </c>
      <c r="O49" s="6">
        <f>1/[1]!Tabelle1325[[#This Row],[Mean fps ]]</f>
        <v>0.08</v>
      </c>
      <c r="Q49" s="3"/>
      <c r="R49" s="11"/>
      <c r="S49" s="7">
        <v>1.3540000000000001</v>
      </c>
      <c r="T49" s="7">
        <v>1.089</v>
      </c>
      <c r="U49" s="7">
        <v>1.665</v>
      </c>
      <c r="AC49" s="7" t="e">
        <f>Tabelle1321011121517[[#This Row],[SD 1]]/Tabelle1321011121517[[#This Row],[Mean Visc. 1 '[mPas']]]</f>
        <v>#DIV/0!</v>
      </c>
      <c r="AD49" s="7" t="e">
        <f>[1]!Tabelle1325[[#This Row],[SD 2]]/[1]!Tabelle1325[[#This Row],[Mean Visc. 2 '[mPas']2]]</f>
        <v>#DIV/0!</v>
      </c>
      <c r="AE49" s="7" t="e">
        <f>[1]!Tabelle1325[[#This Row],[SD 3]]/[1]!Tabelle1325[[#This Row],[Mean Visc. 3 '[mPas']3]]</f>
        <v>#DIV/0!</v>
      </c>
    </row>
    <row r="50" spans="1:31" s="7" customFormat="1" x14ac:dyDescent="0.3">
      <c r="A50">
        <v>49</v>
      </c>
      <c r="B50" s="4"/>
      <c r="C50" s="5"/>
      <c r="D50" s="7">
        <v>3</v>
      </c>
      <c r="E50" t="s">
        <v>183</v>
      </c>
      <c r="F50" t="s">
        <v>166</v>
      </c>
      <c r="G50" s="23"/>
      <c r="H50" s="12" t="s">
        <v>160</v>
      </c>
      <c r="I50" s="9" t="s">
        <v>12</v>
      </c>
      <c r="J50" s="7">
        <v>23.8</v>
      </c>
      <c r="K50" s="7">
        <v>10</v>
      </c>
      <c r="L50" s="7">
        <v>30.88</v>
      </c>
      <c r="M50" s="7">
        <v>386</v>
      </c>
      <c r="N50" s="7">
        <f>[1]!Tabelle1325[[#This Row],[Anzahl Frames]]/[1]!Tabelle1325[[#This Row],[Aufnahmezeit '[s']]]</f>
        <v>12.5</v>
      </c>
      <c r="O50" s="6">
        <f>1/[1]!Tabelle1325[[#This Row],[Mean fps ]]</f>
        <v>0.08</v>
      </c>
      <c r="Q50" s="3"/>
      <c r="R50" s="11"/>
      <c r="S50" s="7">
        <v>1.2889999999999999</v>
      </c>
      <c r="T50" s="7">
        <v>1.0169999999999999</v>
      </c>
      <c r="U50" s="7">
        <v>1.69</v>
      </c>
      <c r="AC50" s="7" t="e">
        <f>Tabelle1321011121517[[#This Row],[SD 1]]/Tabelle1321011121517[[#This Row],[Mean Visc. 1 '[mPas']]]</f>
        <v>#DIV/0!</v>
      </c>
      <c r="AD50" s="7" t="e">
        <f>[1]!Tabelle1325[[#This Row],[SD 2]]/[1]!Tabelle1325[[#This Row],[Mean Visc. 2 '[mPas']2]]</f>
        <v>#DIV/0!</v>
      </c>
      <c r="AE50" s="7" t="e">
        <f>[1]!Tabelle1325[[#This Row],[SD 3]]/[1]!Tabelle1325[[#This Row],[Mean Visc. 3 '[mPas']3]]</f>
        <v>#DIV/0!</v>
      </c>
    </row>
    <row r="51" spans="1:31" s="17" customFormat="1" ht="15" thickBot="1" x14ac:dyDescent="0.35">
      <c r="A51" s="14">
        <v>50</v>
      </c>
      <c r="B51" s="15"/>
      <c r="C51" s="16"/>
      <c r="D51" s="17">
        <v>3</v>
      </c>
      <c r="E51" t="s">
        <v>183</v>
      </c>
      <c r="F51" t="s">
        <v>166</v>
      </c>
      <c r="G51" s="24"/>
      <c r="H51" s="12" t="s">
        <v>160</v>
      </c>
      <c r="I51" s="9" t="s">
        <v>12</v>
      </c>
      <c r="J51" s="17">
        <v>23.9</v>
      </c>
      <c r="K51" s="17">
        <v>10</v>
      </c>
      <c r="L51" s="17">
        <v>30.47</v>
      </c>
      <c r="M51" s="17">
        <v>381</v>
      </c>
      <c r="N51" s="17">
        <f>[1]!Tabelle1325[[#This Row],[Anzahl Frames]]/[1]!Tabelle1325[[#This Row],[Aufnahmezeit '[s']]]</f>
        <v>12.5</v>
      </c>
      <c r="O51" s="25">
        <f>1/[1]!Tabelle1325[[#This Row],[Mean fps ]]</f>
        <v>0.08</v>
      </c>
      <c r="Q51" s="20"/>
      <c r="R51" s="21"/>
      <c r="S51" s="17">
        <v>1.325</v>
      </c>
      <c r="T51" s="17">
        <v>1.216</v>
      </c>
      <c r="U51" s="17">
        <v>1.6930000000000001</v>
      </c>
      <c r="W51" s="7">
        <f>SUM(S42:S51)/10</f>
        <v>1.3317999999999999</v>
      </c>
      <c r="X51" s="7">
        <f t="shared" ref="X51" si="9">SUM(T42:T51)/10</f>
        <v>1.0672999999999999</v>
      </c>
      <c r="Y51" s="7">
        <f t="shared" ref="Y51" si="10">SUM(U42:U51)/10</f>
        <v>1.6974</v>
      </c>
      <c r="Z51" s="17">
        <f>_xlfn.STDEV.S(S42:S51)</f>
        <v>9.5031924460502556E-2</v>
      </c>
      <c r="AA51" s="17">
        <f>_xlfn.STDEV.S(T42:T51)</f>
        <v>8.2673454022436962E-2</v>
      </c>
      <c r="AB51" s="17">
        <f>_xlfn.STDEV.S(U42:U51)</f>
        <v>8.7940889238169534E-2</v>
      </c>
      <c r="AC51" s="17">
        <f>Tabelle1321011121517[[#This Row],[SD 1]]/Tabelle1321011121517[[#This Row],[Mean Visc. 1 '[mPas']]]</f>
        <v>7.1356002748537747E-2</v>
      </c>
      <c r="AD51" s="17">
        <f>Tabelle1321011121517[[#This Row],[SD 2]]/Tabelle1321011121517[[#This Row],[Mean Visc. 2 '[mPas']2]]</f>
        <v>7.7460371050723287E-2</v>
      </c>
      <c r="AE51" s="17">
        <f>Tabelle1321011121517[[#This Row],[SD 3]]/Tabelle1321011121517[[#This Row],[Mean Visc. 3 '[mPas']3]]</f>
        <v>5.180917240377609E-2</v>
      </c>
    </row>
    <row r="52" spans="1:31" s="7" customFormat="1" ht="15" thickTop="1" x14ac:dyDescent="0.3">
      <c r="A52">
        <v>51</v>
      </c>
      <c r="B52" s="4"/>
      <c r="C52" s="5"/>
      <c r="D52" s="7">
        <v>3</v>
      </c>
      <c r="E52" t="s">
        <v>183</v>
      </c>
      <c r="F52" t="s">
        <v>166</v>
      </c>
      <c r="G52" s="23"/>
      <c r="H52" s="12" t="s">
        <v>185</v>
      </c>
      <c r="I52" s="9" t="s">
        <v>12</v>
      </c>
      <c r="J52" s="7">
        <v>22.9</v>
      </c>
      <c r="K52" s="7">
        <v>21</v>
      </c>
      <c r="L52" s="7">
        <v>30.16</v>
      </c>
      <c r="M52" s="7">
        <v>378</v>
      </c>
      <c r="N52" s="7">
        <f>[1]!Tabelle1325[[#This Row],[Anzahl Frames]]/[1]!Tabelle1325[[#This Row],[Aufnahmezeit '[s']]]</f>
        <v>12.533783783783782</v>
      </c>
      <c r="O52" s="6">
        <f>1/[1]!Tabelle1325[[#This Row],[Mean fps ]]</f>
        <v>7.9784366576819421E-2</v>
      </c>
      <c r="Q52" s="3"/>
      <c r="R52" s="11"/>
      <c r="S52" s="7">
        <v>1.252</v>
      </c>
      <c r="T52" s="7">
        <v>1.0389999999999999</v>
      </c>
      <c r="U52" s="7">
        <v>1.65</v>
      </c>
      <c r="AC52" s="7" t="e">
        <f>Tabelle1321011121517[[#This Row],[SD 1]]/Tabelle1321011121517[[#This Row],[Mean Visc. 1 '[mPas']]]</f>
        <v>#DIV/0!</v>
      </c>
      <c r="AD52" s="7" t="e">
        <f>[1]!Tabelle1325[[#This Row],[SD 2]]/[1]!Tabelle1325[[#This Row],[Mean Visc. 2 '[mPas']2]]</f>
        <v>#DIV/0!</v>
      </c>
      <c r="AE52" s="7" t="e">
        <f>[1]!Tabelle1325[[#This Row],[SD 3]]/[1]!Tabelle1325[[#This Row],[Mean Visc. 3 '[mPas']3]]</f>
        <v>#DIV/0!</v>
      </c>
    </row>
    <row r="53" spans="1:31" s="7" customFormat="1" x14ac:dyDescent="0.3">
      <c r="A53">
        <v>52</v>
      </c>
      <c r="B53" s="4"/>
      <c r="C53" s="5"/>
      <c r="D53" s="7">
        <v>3</v>
      </c>
      <c r="E53" t="s">
        <v>183</v>
      </c>
      <c r="F53" t="s">
        <v>166</v>
      </c>
      <c r="G53" s="23"/>
      <c r="H53" s="12" t="s">
        <v>185</v>
      </c>
      <c r="I53" s="9" t="s">
        <v>12</v>
      </c>
      <c r="J53" s="7">
        <v>23</v>
      </c>
      <c r="K53" s="7">
        <v>21</v>
      </c>
      <c r="L53" s="7">
        <v>29.76</v>
      </c>
      <c r="M53" s="7">
        <v>373</v>
      </c>
      <c r="N53" s="7">
        <f>[1]!Tabelle1325[[#This Row],[Anzahl Frames]]/[1]!Tabelle1325[[#This Row],[Aufnahmezeit '[s']]]</f>
        <v>12.533512064343164</v>
      </c>
      <c r="O53" s="6">
        <f>1/[1]!Tabelle1325[[#This Row],[Mean fps ]]</f>
        <v>7.9786096256684494E-2</v>
      </c>
      <c r="Q53" s="3"/>
      <c r="R53" s="11"/>
      <c r="S53" s="7">
        <v>1.206</v>
      </c>
      <c r="T53" s="7">
        <v>1.1060000000000001</v>
      </c>
      <c r="U53" s="7">
        <v>1.6419999999999999</v>
      </c>
      <c r="AC53" s="7" t="e">
        <f>Tabelle1321011121517[[#This Row],[SD 1]]/Tabelle1321011121517[[#This Row],[Mean Visc. 1 '[mPas']]]</f>
        <v>#DIV/0!</v>
      </c>
      <c r="AD53" s="7" t="e">
        <f>[1]!Tabelle1325[[#This Row],[SD 2]]/[1]!Tabelle1325[[#This Row],[Mean Visc. 2 '[mPas']2]]</f>
        <v>#DIV/0!</v>
      </c>
      <c r="AE53" s="7" t="e">
        <f>[1]!Tabelle1325[[#This Row],[SD 3]]/[1]!Tabelle1325[[#This Row],[Mean Visc. 3 '[mPas']3]]</f>
        <v>#DIV/0!</v>
      </c>
    </row>
    <row r="54" spans="1:31" s="7" customFormat="1" x14ac:dyDescent="0.3">
      <c r="A54">
        <v>53</v>
      </c>
      <c r="B54" s="4"/>
      <c r="C54" s="5"/>
      <c r="D54" s="7">
        <v>3</v>
      </c>
      <c r="E54" t="s">
        <v>183</v>
      </c>
      <c r="F54" t="s">
        <v>166</v>
      </c>
      <c r="G54" s="23"/>
      <c r="H54" s="12" t="s">
        <v>185</v>
      </c>
      <c r="I54" s="9" t="s">
        <v>12</v>
      </c>
      <c r="J54" s="7">
        <v>23.1</v>
      </c>
      <c r="K54" s="7">
        <v>21</v>
      </c>
      <c r="L54" s="7">
        <v>30.4</v>
      </c>
      <c r="M54" s="7">
        <v>381</v>
      </c>
      <c r="N54" s="7">
        <f>[1]!Tabelle1325[[#This Row],[Anzahl Frames]]/[1]!Tabelle1325[[#This Row],[Aufnahmezeit '[s']]]</f>
        <v>12.5</v>
      </c>
      <c r="O54" s="6">
        <f>1/[1]!Tabelle1325[[#This Row],[Mean fps ]]</f>
        <v>0.08</v>
      </c>
      <c r="Q54" s="3"/>
      <c r="R54" s="11"/>
      <c r="S54" s="7">
        <v>1.1599999999999999</v>
      </c>
      <c r="T54" s="7">
        <v>1.0349999999999999</v>
      </c>
      <c r="U54" s="7">
        <v>1.5529999999999999</v>
      </c>
      <c r="AC54" s="7" t="e">
        <f>Tabelle1321011121517[[#This Row],[SD 1]]/Tabelle1321011121517[[#This Row],[Mean Visc. 1 '[mPas']]]</f>
        <v>#DIV/0!</v>
      </c>
      <c r="AD54" s="7" t="e">
        <f>[1]!Tabelle1325[[#This Row],[SD 2]]/[1]!Tabelle1325[[#This Row],[Mean Visc. 2 '[mPas']2]]</f>
        <v>#DIV/0!</v>
      </c>
      <c r="AE54" s="7" t="e">
        <f>[1]!Tabelle1325[[#This Row],[SD 3]]/[1]!Tabelle1325[[#This Row],[Mean Visc. 3 '[mPas']3]]</f>
        <v>#DIV/0!</v>
      </c>
    </row>
    <row r="55" spans="1:31" s="7" customFormat="1" x14ac:dyDescent="0.3">
      <c r="A55">
        <v>54</v>
      </c>
      <c r="B55" s="4"/>
      <c r="C55" s="5"/>
      <c r="D55" s="7">
        <v>3</v>
      </c>
      <c r="E55" t="s">
        <v>183</v>
      </c>
      <c r="F55" t="s">
        <v>166</v>
      </c>
      <c r="G55" s="23"/>
      <c r="H55" s="12" t="s">
        <v>185</v>
      </c>
      <c r="I55" s="9" t="s">
        <v>12</v>
      </c>
      <c r="J55" s="7">
        <v>23.2</v>
      </c>
      <c r="K55" s="7">
        <v>21</v>
      </c>
      <c r="L55" s="7">
        <v>31.04</v>
      </c>
      <c r="M55" s="7">
        <v>388</v>
      </c>
      <c r="N55" s="7">
        <f>[1]!Tabelle1325[[#This Row],[Anzahl Frames]]/[1]!Tabelle1325[[#This Row],[Aufnahmezeit '[s']]]</f>
        <v>12.508361204013379</v>
      </c>
      <c r="O55" s="6">
        <f>1/[1]!Tabelle1325[[#This Row],[Mean fps ]]</f>
        <v>7.9946524064171118E-2</v>
      </c>
      <c r="Q55" s="3"/>
      <c r="R55" s="11"/>
      <c r="S55" s="7">
        <v>1.1419999999999999</v>
      </c>
      <c r="T55" s="7">
        <v>0.98199999999999998</v>
      </c>
      <c r="U55" s="7">
        <v>1.66</v>
      </c>
      <c r="AC55" s="7" t="e">
        <f>Tabelle1321011121517[[#This Row],[SD 1]]/Tabelle1321011121517[[#This Row],[Mean Visc. 1 '[mPas']]]</f>
        <v>#DIV/0!</v>
      </c>
      <c r="AD55" s="7" t="e">
        <f>[1]!Tabelle1325[[#This Row],[SD 2]]/[1]!Tabelle1325[[#This Row],[Mean Visc. 2 '[mPas']2]]</f>
        <v>#DIV/0!</v>
      </c>
      <c r="AE55" s="7" t="e">
        <f>[1]!Tabelle1325[[#This Row],[SD 3]]/[1]!Tabelle1325[[#This Row],[Mean Visc. 3 '[mPas']3]]</f>
        <v>#DIV/0!</v>
      </c>
    </row>
    <row r="56" spans="1:31" s="17" customFormat="1" ht="15" thickBot="1" x14ac:dyDescent="0.35">
      <c r="A56" s="14">
        <v>55</v>
      </c>
      <c r="B56" s="15"/>
      <c r="C56" s="16"/>
      <c r="D56" s="17">
        <v>3</v>
      </c>
      <c r="E56" t="s">
        <v>183</v>
      </c>
      <c r="F56" t="s">
        <v>166</v>
      </c>
      <c r="G56" s="24"/>
      <c r="H56" s="12" t="s">
        <v>185</v>
      </c>
      <c r="I56" s="9" t="s">
        <v>12</v>
      </c>
      <c r="J56" s="7">
        <v>23.2</v>
      </c>
      <c r="K56" s="7">
        <v>21</v>
      </c>
      <c r="L56" s="7">
        <v>29.84</v>
      </c>
      <c r="M56" s="7">
        <v>374</v>
      </c>
      <c r="N56" s="17">
        <f>[1]!Tabelle1325[[#This Row],[Anzahl Frames]]/[1]!Tabelle1325[[#This Row],[Aufnahmezeit '[s']]]</f>
        <v>12.532722513089006</v>
      </c>
      <c r="O56" s="25">
        <f>1/[1]!Tabelle1325[[#This Row],[Mean fps ]]</f>
        <v>7.97911227154047E-2</v>
      </c>
      <c r="Q56" s="20"/>
      <c r="R56" s="21"/>
      <c r="S56" s="7">
        <v>1.27</v>
      </c>
      <c r="T56" s="7">
        <v>1.0940000000000001</v>
      </c>
      <c r="U56" s="7">
        <v>1.6970000000000001</v>
      </c>
      <c r="AC56" s="17" t="e">
        <f>Tabelle1321011121517[[#This Row],[SD 1]]/Tabelle1321011121517[[#This Row],[Mean Visc. 1 '[mPas']]]</f>
        <v>#DIV/0!</v>
      </c>
      <c r="AD56" s="17" t="e">
        <f>[1]!Tabelle1325[[#This Row],[SD 2]]/[1]!Tabelle1325[[#This Row],[Mean Visc. 2 '[mPas']2]]</f>
        <v>#DIV/0!</v>
      </c>
      <c r="AE56" s="17" t="e">
        <f>[1]!Tabelle1325[[#This Row],[SD 3]]/[1]!Tabelle1325[[#This Row],[Mean Visc. 3 '[mPas']3]]</f>
        <v>#DIV/0!</v>
      </c>
    </row>
    <row r="57" spans="1:31" s="7" customFormat="1" ht="15" thickTop="1" x14ac:dyDescent="0.3">
      <c r="A57">
        <v>56</v>
      </c>
      <c r="B57" s="4"/>
      <c r="C57" s="5"/>
      <c r="D57" s="7">
        <v>3</v>
      </c>
      <c r="E57" t="s">
        <v>183</v>
      </c>
      <c r="F57" t="s">
        <v>166</v>
      </c>
      <c r="G57" s="23"/>
      <c r="H57" s="12" t="s">
        <v>185</v>
      </c>
      <c r="I57" s="9" t="s">
        <v>12</v>
      </c>
      <c r="J57" s="7">
        <v>23.4</v>
      </c>
      <c r="K57" s="7">
        <v>21</v>
      </c>
      <c r="L57" s="7">
        <v>30.4</v>
      </c>
      <c r="M57" s="7">
        <v>380</v>
      </c>
      <c r="N57" s="7">
        <f>[1]!Tabelle1325[[#This Row],[Anzahl Frames]]/[1]!Tabelle1325[[#This Row],[Aufnahmezeit '[s']]]</f>
        <v>12.532722513089006</v>
      </c>
      <c r="O57" s="6">
        <f>1/[1]!Tabelle1325[[#This Row],[Mean fps ]]</f>
        <v>7.97911227154047E-2</v>
      </c>
      <c r="Q57" s="3"/>
      <c r="R57" s="11"/>
      <c r="S57" s="7">
        <v>1.2509999999999999</v>
      </c>
      <c r="T57" s="7">
        <v>1.1619999999999999</v>
      </c>
      <c r="U57" s="7">
        <v>1.679</v>
      </c>
      <c r="AC57" s="7" t="e">
        <f>Tabelle1321011121517[[#This Row],[SD 1]]/Tabelle1321011121517[[#This Row],[Mean Visc. 1 '[mPas']]]</f>
        <v>#DIV/0!</v>
      </c>
      <c r="AD57" s="7" t="e">
        <f>[1]!Tabelle1325[[#This Row],[SD 2]]/[1]!Tabelle1325[[#This Row],[Mean Visc. 2 '[mPas']2]]</f>
        <v>#DIV/0!</v>
      </c>
      <c r="AE57" s="7" t="e">
        <f>[1]!Tabelle1325[[#This Row],[SD 3]]/[1]!Tabelle1325[[#This Row],[Mean Visc. 3 '[mPas']3]]</f>
        <v>#DIV/0!</v>
      </c>
    </row>
    <row r="58" spans="1:31" s="7" customFormat="1" x14ac:dyDescent="0.3">
      <c r="A58">
        <v>57</v>
      </c>
      <c r="B58" s="4"/>
      <c r="C58" s="5"/>
      <c r="D58" s="7">
        <v>3</v>
      </c>
      <c r="E58" t="s">
        <v>183</v>
      </c>
      <c r="F58" t="s">
        <v>166</v>
      </c>
      <c r="G58" s="23"/>
      <c r="H58" s="12" t="s">
        <v>185</v>
      </c>
      <c r="I58" s="9" t="s">
        <v>12</v>
      </c>
      <c r="J58" s="7">
        <v>23.4</v>
      </c>
      <c r="K58" s="7">
        <v>21</v>
      </c>
      <c r="L58" s="7">
        <v>30.32</v>
      </c>
      <c r="M58" s="7">
        <v>379</v>
      </c>
      <c r="N58" s="7">
        <f>[1]!Tabelle1325[[#This Row],[Anzahl Frames]]/[1]!Tabelle1325[[#This Row],[Aufnahmezeit '[s']]]</f>
        <v>12.533068783068783</v>
      </c>
      <c r="O58" s="6">
        <f>1/[1]!Tabelle1325[[#This Row],[Mean fps ]]</f>
        <v>7.9788918205804749E-2</v>
      </c>
      <c r="Q58" s="3"/>
      <c r="R58" s="11"/>
      <c r="S58" s="7">
        <v>1.298</v>
      </c>
      <c r="T58" s="7">
        <v>1.125</v>
      </c>
      <c r="U58" s="7">
        <v>1.6850000000000001</v>
      </c>
      <c r="AC58" s="7" t="e">
        <f>Tabelle1321011121517[[#This Row],[SD 1]]/Tabelle1321011121517[[#This Row],[Mean Visc. 1 '[mPas']]]</f>
        <v>#DIV/0!</v>
      </c>
      <c r="AD58" s="7" t="e">
        <f>[1]!Tabelle1325[[#This Row],[SD 2]]/[1]!Tabelle1325[[#This Row],[Mean Visc. 2 '[mPas']2]]</f>
        <v>#DIV/0!</v>
      </c>
      <c r="AE58" s="7" t="e">
        <f>[1]!Tabelle1325[[#This Row],[SD 3]]/[1]!Tabelle1325[[#This Row],[Mean Visc. 3 '[mPas']3]]</f>
        <v>#DIV/0!</v>
      </c>
    </row>
    <row r="59" spans="1:31" s="7" customFormat="1" x14ac:dyDescent="0.3">
      <c r="A59">
        <v>58</v>
      </c>
      <c r="B59" s="4"/>
      <c r="C59" s="5"/>
      <c r="D59" s="7">
        <v>3</v>
      </c>
      <c r="E59" t="s">
        <v>183</v>
      </c>
      <c r="F59" t="s">
        <v>166</v>
      </c>
      <c r="G59" s="23"/>
      <c r="H59" s="12" t="s">
        <v>185</v>
      </c>
      <c r="I59" s="9" t="s">
        <v>12</v>
      </c>
      <c r="J59" s="7">
        <v>23.5</v>
      </c>
      <c r="K59" s="7">
        <v>21</v>
      </c>
      <c r="L59" s="7">
        <v>30.34</v>
      </c>
      <c r="M59" s="7">
        <v>379</v>
      </c>
      <c r="N59" s="7">
        <f>[1]!Tabelle1325[[#This Row],[Anzahl Frames]]/[1]!Tabelle1325[[#This Row],[Aufnahmezeit '[s']]]</f>
        <v>12.532552083333334</v>
      </c>
      <c r="O59" s="6">
        <f>1/[1]!Tabelle1325[[#This Row],[Mean fps ]]</f>
        <v>7.9792207792207789E-2</v>
      </c>
      <c r="Q59" s="3"/>
      <c r="R59" s="11"/>
      <c r="S59" s="7">
        <v>1.198</v>
      </c>
      <c r="T59" s="7">
        <v>1.054</v>
      </c>
      <c r="U59" s="7">
        <v>1.597</v>
      </c>
      <c r="AC59" s="7" t="e">
        <f>Tabelle1321011121517[[#This Row],[SD 1]]/Tabelle1321011121517[[#This Row],[Mean Visc. 1 '[mPas']]]</f>
        <v>#DIV/0!</v>
      </c>
      <c r="AD59" s="7" t="e">
        <f>[1]!Tabelle1325[[#This Row],[SD 2]]/[1]!Tabelle1325[[#This Row],[Mean Visc. 2 '[mPas']2]]</f>
        <v>#DIV/0!</v>
      </c>
      <c r="AE59" s="7" t="e">
        <f>[1]!Tabelle1325[[#This Row],[SD 3]]/[1]!Tabelle1325[[#This Row],[Mean Visc. 3 '[mPas']3]]</f>
        <v>#DIV/0!</v>
      </c>
    </row>
    <row r="60" spans="1:31" s="7" customFormat="1" x14ac:dyDescent="0.3">
      <c r="A60">
        <v>59</v>
      </c>
      <c r="B60" s="4"/>
      <c r="C60" s="5"/>
      <c r="D60" s="7">
        <v>3</v>
      </c>
      <c r="E60" t="s">
        <v>183</v>
      </c>
      <c r="F60" t="s">
        <v>166</v>
      </c>
      <c r="G60" s="23"/>
      <c r="H60" s="12" t="s">
        <v>185</v>
      </c>
      <c r="I60" s="9" t="s">
        <v>12</v>
      </c>
      <c r="J60" s="7">
        <v>23.6</v>
      </c>
      <c r="K60" s="7">
        <v>21</v>
      </c>
      <c r="L60" s="7">
        <v>30.16</v>
      </c>
      <c r="M60" s="7">
        <v>377</v>
      </c>
      <c r="N60" s="7">
        <f>[1]!Tabelle1325[[#This Row],[Anzahl Frames]]/[1]!Tabelle1325[[#This Row],[Aufnahmezeit '[s']]]</f>
        <v>12.5</v>
      </c>
      <c r="O60" s="6">
        <f>1/[1]!Tabelle1325[[#This Row],[Mean fps ]]</f>
        <v>0.08</v>
      </c>
      <c r="Q60" s="3"/>
      <c r="R60" s="11"/>
      <c r="S60" s="7">
        <v>1.125</v>
      </c>
      <c r="T60" s="7">
        <v>0.97099999999999997</v>
      </c>
      <c r="U60" s="7">
        <v>1.61</v>
      </c>
      <c r="AC60" s="7" t="e">
        <f>Tabelle1321011121517[[#This Row],[SD 1]]/Tabelle1321011121517[[#This Row],[Mean Visc. 1 '[mPas']]]</f>
        <v>#DIV/0!</v>
      </c>
      <c r="AD60" s="7" t="e">
        <f>[1]!Tabelle1325[[#This Row],[SD 2]]/[1]!Tabelle1325[[#This Row],[Mean Visc. 2 '[mPas']2]]</f>
        <v>#DIV/0!</v>
      </c>
      <c r="AE60" s="7" t="e">
        <f>[1]!Tabelle1325[[#This Row],[SD 3]]/[1]!Tabelle1325[[#This Row],[Mean Visc. 3 '[mPas']3]]</f>
        <v>#DIV/0!</v>
      </c>
    </row>
    <row r="61" spans="1:31" s="17" customFormat="1" ht="15" thickBot="1" x14ac:dyDescent="0.35">
      <c r="A61" s="14">
        <v>60</v>
      </c>
      <c r="B61" s="15"/>
      <c r="C61" s="16"/>
      <c r="D61" s="17">
        <v>3</v>
      </c>
      <c r="E61" t="s">
        <v>183</v>
      </c>
      <c r="F61" t="s">
        <v>166</v>
      </c>
      <c r="G61" s="24"/>
      <c r="H61" s="12" t="s">
        <v>185</v>
      </c>
      <c r="I61" s="9" t="s">
        <v>12</v>
      </c>
      <c r="J61" s="7">
        <v>23.7</v>
      </c>
      <c r="K61" s="7">
        <v>21</v>
      </c>
      <c r="L61" s="7">
        <v>31.04</v>
      </c>
      <c r="M61" s="7">
        <v>389</v>
      </c>
      <c r="N61" s="17">
        <f>[1]!Tabelle1325[[#This Row],[Anzahl Frames]]/[1]!Tabelle1325[[#This Row],[Aufnahmezeit '[s']]]</f>
        <v>12.508406186953598</v>
      </c>
      <c r="O61" s="25">
        <f>1/[1]!Tabelle1325[[#This Row],[Mean fps ]]</f>
        <v>7.994623655913978E-2</v>
      </c>
      <c r="Q61" s="20"/>
      <c r="R61" s="21"/>
      <c r="S61" s="7">
        <v>1.151</v>
      </c>
      <c r="T61" s="7">
        <v>1.0569999999999999</v>
      </c>
      <c r="U61" s="7">
        <v>1.641</v>
      </c>
      <c r="W61" s="7">
        <f>SUM(S52:S61)/10</f>
        <v>1.2052999999999998</v>
      </c>
      <c r="X61" s="7">
        <f t="shared" ref="X61" si="11">SUM(T52:T61)/10</f>
        <v>1.0625</v>
      </c>
      <c r="Y61" s="7">
        <f t="shared" ref="Y61" si="12">SUM(U52:U61)/10</f>
        <v>1.6414000000000002</v>
      </c>
      <c r="Z61" s="17">
        <f>_xlfn.STDEV.S(S52:S61)</f>
        <v>6.0146210742379011E-2</v>
      </c>
      <c r="AA61" s="17">
        <f>_xlfn.STDEV.S(T52:T61)</f>
        <v>6.0511247806594712E-2</v>
      </c>
      <c r="AB61" s="17">
        <f>_xlfn.STDEV.S(U52:U61)</f>
        <v>4.4219653750089218E-2</v>
      </c>
      <c r="AC61" s="17">
        <f>Tabelle1321011121517[[#This Row],[SD 1]]/Tabelle1321011121517[[#This Row],[Mean Visc. 1 '[mPas']]]</f>
        <v>4.9901444239922856E-2</v>
      </c>
      <c r="AD61" s="17">
        <f>Tabelle1321011121517[[#This Row],[SD 2]]/Tabelle1321011121517[[#This Row],[Mean Visc. 2 '[mPas']2]]</f>
        <v>5.6951762641500904E-2</v>
      </c>
      <c r="AE61" s="17">
        <f>Tabelle1321011121517[[#This Row],[SD 3]]/Tabelle1321011121517[[#This Row],[Mean Visc. 3 '[mPas']3]]</f>
        <v>2.6940205769519443E-2</v>
      </c>
    </row>
    <row r="62" spans="1:31" s="7" customFormat="1" ht="15" thickTop="1" x14ac:dyDescent="0.3">
      <c r="A62">
        <v>61</v>
      </c>
      <c r="B62" s="4"/>
      <c r="C62" s="5"/>
      <c r="D62" s="7">
        <v>4</v>
      </c>
      <c r="E62" t="s">
        <v>167</v>
      </c>
      <c r="F62" t="s">
        <v>168</v>
      </c>
      <c r="G62" s="23"/>
      <c r="H62" s="12" t="s">
        <v>160</v>
      </c>
      <c r="I62" s="9" t="s">
        <v>12</v>
      </c>
      <c r="J62" s="7">
        <v>23.8</v>
      </c>
      <c r="K62" s="7">
        <v>10</v>
      </c>
      <c r="L62" s="7">
        <v>30.22</v>
      </c>
      <c r="M62" s="7">
        <v>378</v>
      </c>
      <c r="N62" s="7">
        <f>[1]!Tabelle1325[[#This Row],[Anzahl Frames]]/[1]!Tabelle1325[[#This Row],[Aufnahmezeit '[s']]]</f>
        <v>12.62809917355372</v>
      </c>
      <c r="O62" s="6">
        <f>1/[1]!Tabelle1325[[#This Row],[Mean fps ]]</f>
        <v>7.9188481675392663E-2</v>
      </c>
      <c r="Q62" s="3"/>
      <c r="R62" s="11"/>
      <c r="S62" s="7">
        <v>1.7430000000000001</v>
      </c>
      <c r="T62" s="7">
        <v>1.44</v>
      </c>
      <c r="U62" s="7">
        <v>2.1669999999999998</v>
      </c>
      <c r="AC62" s="7" t="e">
        <f>Tabelle1321011121517[[#This Row],[SD 1]]/Tabelle1321011121517[[#This Row],[Mean Visc. 1 '[mPas']]]</f>
        <v>#DIV/0!</v>
      </c>
      <c r="AD62" s="7" t="e">
        <f>[1]!Tabelle1325[[#This Row],[SD 2]]/[1]!Tabelle1325[[#This Row],[Mean Visc. 2 '[mPas']2]]</f>
        <v>#DIV/0!</v>
      </c>
      <c r="AE62" s="7" t="e">
        <f>[1]!Tabelle1325[[#This Row],[SD 3]]/[1]!Tabelle1325[[#This Row],[Mean Visc. 3 '[mPas']3]]</f>
        <v>#DIV/0!</v>
      </c>
    </row>
    <row r="63" spans="1:31" s="7" customFormat="1" x14ac:dyDescent="0.3">
      <c r="A63">
        <v>62</v>
      </c>
      <c r="B63" s="4"/>
      <c r="C63" s="5"/>
      <c r="D63" s="7">
        <v>4</v>
      </c>
      <c r="E63" t="s">
        <v>167</v>
      </c>
      <c r="F63" t="s">
        <v>168</v>
      </c>
      <c r="G63" s="23"/>
      <c r="H63" s="12" t="s">
        <v>160</v>
      </c>
      <c r="I63" s="9" t="s">
        <v>12</v>
      </c>
      <c r="J63" s="7">
        <v>23.9</v>
      </c>
      <c r="K63" s="7">
        <v>10</v>
      </c>
      <c r="L63" s="7">
        <v>29.27</v>
      </c>
      <c r="M63" s="7">
        <v>366</v>
      </c>
      <c r="N63" s="7">
        <f>[1]!Tabelle1325[[#This Row],[Anzahl Frames]]/[1]!Tabelle1325[[#This Row],[Aufnahmezeit '[s']]]</f>
        <v>12.5</v>
      </c>
      <c r="O63" s="6">
        <f>1/[1]!Tabelle1325[[#This Row],[Mean fps ]]</f>
        <v>0.08</v>
      </c>
      <c r="Q63" s="3"/>
      <c r="R63" s="11"/>
      <c r="S63" s="7">
        <v>1.93</v>
      </c>
      <c r="T63" s="7">
        <v>1.552</v>
      </c>
      <c r="U63" s="7">
        <v>2.1970000000000001</v>
      </c>
      <c r="AC63" s="7" t="e">
        <f>Tabelle1321011121517[[#This Row],[SD 1]]/Tabelle1321011121517[[#This Row],[Mean Visc. 1 '[mPas']]]</f>
        <v>#DIV/0!</v>
      </c>
      <c r="AD63" s="7" t="e">
        <f>[1]!Tabelle1325[[#This Row],[SD 2]]/[1]!Tabelle1325[[#This Row],[Mean Visc. 2 '[mPas']2]]</f>
        <v>#DIV/0!</v>
      </c>
      <c r="AE63" s="7" t="e">
        <f>[1]!Tabelle1325[[#This Row],[SD 3]]/[1]!Tabelle1325[[#This Row],[Mean Visc. 3 '[mPas']3]]</f>
        <v>#DIV/0!</v>
      </c>
    </row>
    <row r="64" spans="1:31" s="7" customFormat="1" x14ac:dyDescent="0.3">
      <c r="A64">
        <v>63</v>
      </c>
      <c r="B64" s="4"/>
      <c r="C64" s="5"/>
      <c r="D64" s="7">
        <v>4</v>
      </c>
      <c r="E64" t="s">
        <v>167</v>
      </c>
      <c r="F64" t="s">
        <v>168</v>
      </c>
      <c r="G64" s="23"/>
      <c r="H64" s="12" t="s">
        <v>160</v>
      </c>
      <c r="I64" s="9" t="s">
        <v>12</v>
      </c>
      <c r="J64" s="7">
        <v>23.9</v>
      </c>
      <c r="K64" s="7">
        <v>10</v>
      </c>
      <c r="L64" s="7">
        <v>30.8</v>
      </c>
      <c r="M64" s="7">
        <v>385</v>
      </c>
      <c r="N64" s="7">
        <f>[1]!Tabelle1325[[#This Row],[Anzahl Frames]]/[1]!Tabelle1325[[#This Row],[Aufnahmezeit '[s']]]</f>
        <v>12.5</v>
      </c>
      <c r="O64" s="6">
        <f>1/[1]!Tabelle1325[[#This Row],[Mean fps ]]</f>
        <v>0.08</v>
      </c>
      <c r="Q64" s="3"/>
      <c r="R64" s="11"/>
      <c r="S64" s="7">
        <v>1.98</v>
      </c>
      <c r="T64" s="7">
        <v>1.76</v>
      </c>
      <c r="U64" s="7">
        <v>2.4</v>
      </c>
      <c r="AC64" s="7" t="e">
        <f>Tabelle1321011121517[[#This Row],[SD 1]]/Tabelle1321011121517[[#This Row],[Mean Visc. 1 '[mPas']]]</f>
        <v>#DIV/0!</v>
      </c>
      <c r="AD64" s="7" t="e">
        <f>[1]!Tabelle1325[[#This Row],[SD 2]]/[1]!Tabelle1325[[#This Row],[Mean Visc. 2 '[mPas']2]]</f>
        <v>#DIV/0!</v>
      </c>
      <c r="AE64" s="7" t="e">
        <f>[1]!Tabelle1325[[#This Row],[SD 3]]/[1]!Tabelle1325[[#This Row],[Mean Visc. 3 '[mPas']3]]</f>
        <v>#DIV/0!</v>
      </c>
    </row>
    <row r="65" spans="1:31" s="7" customFormat="1" x14ac:dyDescent="0.3">
      <c r="A65">
        <v>64</v>
      </c>
      <c r="B65" s="4"/>
      <c r="C65" s="5"/>
      <c r="D65" s="7">
        <v>4</v>
      </c>
      <c r="E65" t="s">
        <v>167</v>
      </c>
      <c r="F65" t="s">
        <v>168</v>
      </c>
      <c r="G65" s="23"/>
      <c r="H65" s="12" t="s">
        <v>160</v>
      </c>
      <c r="I65" s="9" t="s">
        <v>12</v>
      </c>
      <c r="J65" s="7">
        <v>24</v>
      </c>
      <c r="K65" s="7">
        <v>10</v>
      </c>
      <c r="L65" s="7">
        <v>29.84</v>
      </c>
      <c r="M65" s="7">
        <v>374</v>
      </c>
      <c r="N65" s="7">
        <f>[1]!Tabelle1325[[#This Row],[Anzahl Frames]]/[1]!Tabelle1325[[#This Row],[Aufnahmezeit '[s']]]</f>
        <v>12.5</v>
      </c>
      <c r="O65" s="6">
        <f>1/[1]!Tabelle1325[[#This Row],[Mean fps ]]</f>
        <v>0.08</v>
      </c>
      <c r="Q65" s="3"/>
      <c r="R65" s="11"/>
      <c r="S65" s="7">
        <v>1.9319999999999999</v>
      </c>
      <c r="T65" s="7">
        <v>1.8240000000000001</v>
      </c>
      <c r="U65" s="7">
        <v>2.1080000000000001</v>
      </c>
      <c r="AC65" s="7" t="e">
        <f>Tabelle1321011121517[[#This Row],[SD 1]]/Tabelle1321011121517[[#This Row],[Mean Visc. 1 '[mPas']]]</f>
        <v>#DIV/0!</v>
      </c>
      <c r="AD65" s="7" t="e">
        <f>[1]!Tabelle1325[[#This Row],[SD 2]]/[1]!Tabelle1325[[#This Row],[Mean Visc. 2 '[mPas']2]]</f>
        <v>#DIV/0!</v>
      </c>
      <c r="AE65" s="7" t="e">
        <f>[1]!Tabelle1325[[#This Row],[SD 3]]/[1]!Tabelle1325[[#This Row],[Mean Visc. 3 '[mPas']3]]</f>
        <v>#DIV/0!</v>
      </c>
    </row>
    <row r="66" spans="1:31" s="17" customFormat="1" ht="15" thickBot="1" x14ac:dyDescent="0.35">
      <c r="A66" s="14">
        <v>65</v>
      </c>
      <c r="B66" s="15"/>
      <c r="C66" s="16"/>
      <c r="D66" s="17">
        <v>4</v>
      </c>
      <c r="E66" t="s">
        <v>167</v>
      </c>
      <c r="F66" t="s">
        <v>168</v>
      </c>
      <c r="G66" s="24"/>
      <c r="H66" s="12" t="s">
        <v>160</v>
      </c>
      <c r="I66" s="9" t="s">
        <v>12</v>
      </c>
      <c r="J66" s="17">
        <v>24</v>
      </c>
      <c r="K66" s="17">
        <v>10</v>
      </c>
      <c r="L66" s="17">
        <v>30.72</v>
      </c>
      <c r="M66" s="17">
        <v>384</v>
      </c>
      <c r="N66" s="17">
        <f>[1]!Tabelle1325[[#This Row],[Anzahl Frames]]/[1]!Tabelle1325[[#This Row],[Aufnahmezeit '[s']]]</f>
        <v>12.491909385113269</v>
      </c>
      <c r="O66" s="25">
        <f>1/[1]!Tabelle1325[[#This Row],[Mean fps ]]</f>
        <v>8.0051813471502586E-2</v>
      </c>
      <c r="Q66" s="20"/>
      <c r="R66" s="21"/>
      <c r="S66" s="17">
        <v>1.7450000000000001</v>
      </c>
      <c r="T66" s="17">
        <v>1.6850000000000001</v>
      </c>
      <c r="U66" s="17">
        <v>1.88</v>
      </c>
      <c r="AC66" s="17" t="e">
        <f>Tabelle1321011121517[[#This Row],[SD 1]]/Tabelle1321011121517[[#This Row],[Mean Visc. 1 '[mPas']]]</f>
        <v>#DIV/0!</v>
      </c>
      <c r="AD66" s="17" t="e">
        <f>[1]!Tabelle1325[[#This Row],[SD 2]]/[1]!Tabelle1325[[#This Row],[Mean Visc. 2 '[mPas']2]]</f>
        <v>#DIV/0!</v>
      </c>
      <c r="AE66" s="17" t="e">
        <f>[1]!Tabelle1325[[#This Row],[SD 3]]/[1]!Tabelle1325[[#This Row],[Mean Visc. 3 '[mPas']3]]</f>
        <v>#DIV/0!</v>
      </c>
    </row>
    <row r="67" spans="1:31" s="7" customFormat="1" ht="15" thickTop="1" x14ac:dyDescent="0.3">
      <c r="A67">
        <v>66</v>
      </c>
      <c r="B67" s="4"/>
      <c r="C67" s="5"/>
      <c r="D67" s="7">
        <v>4</v>
      </c>
      <c r="E67" t="s">
        <v>167</v>
      </c>
      <c r="F67" t="s">
        <v>168</v>
      </c>
      <c r="G67" s="23"/>
      <c r="H67" s="12" t="s">
        <v>160</v>
      </c>
      <c r="I67" s="9" t="s">
        <v>12</v>
      </c>
      <c r="J67" s="7">
        <v>24.1</v>
      </c>
      <c r="K67" s="7">
        <v>10</v>
      </c>
      <c r="N67" s="7">
        <f>[1]!Tabelle1325[[#This Row],[Anzahl Frames]]/[1]!Tabelle1325[[#This Row],[Aufnahmezeit '[s']]]</f>
        <v>12.491867273910215</v>
      </c>
      <c r="O67" s="6">
        <f>1/[1]!Tabelle1325[[#This Row],[Mean fps ]]</f>
        <v>8.0052083333333329E-2</v>
      </c>
      <c r="Q67" s="3"/>
      <c r="R67" s="11"/>
      <c r="S67" s="7">
        <v>1.861</v>
      </c>
      <c r="T67" s="7">
        <v>1.6240000000000001</v>
      </c>
      <c r="U67" s="7">
        <v>2.1160000000000001</v>
      </c>
      <c r="AC67" s="7" t="e">
        <f>Tabelle1321011121517[[#This Row],[SD 1]]/Tabelle1321011121517[[#This Row],[Mean Visc. 1 '[mPas']]]</f>
        <v>#DIV/0!</v>
      </c>
      <c r="AD67" s="7" t="e">
        <f>[1]!Tabelle1325[[#This Row],[SD 2]]/[1]!Tabelle1325[[#This Row],[Mean Visc. 2 '[mPas']2]]</f>
        <v>#DIV/0!</v>
      </c>
      <c r="AE67" s="7" t="e">
        <f>[1]!Tabelle1325[[#This Row],[SD 3]]/[1]!Tabelle1325[[#This Row],[Mean Visc. 3 '[mPas']3]]</f>
        <v>#DIV/0!</v>
      </c>
    </row>
    <row r="68" spans="1:31" s="7" customFormat="1" x14ac:dyDescent="0.3">
      <c r="A68">
        <v>67</v>
      </c>
      <c r="B68" s="4"/>
      <c r="C68" s="5"/>
      <c r="D68" s="7">
        <v>4</v>
      </c>
      <c r="E68" t="s">
        <v>167</v>
      </c>
      <c r="F68" t="s">
        <v>168</v>
      </c>
      <c r="G68" s="23"/>
      <c r="H68" s="12" t="s">
        <v>160</v>
      </c>
      <c r="I68" s="9" t="s">
        <v>12</v>
      </c>
      <c r="J68" s="7">
        <v>24.2</v>
      </c>
      <c r="K68" s="7">
        <v>10</v>
      </c>
      <c r="L68" s="7">
        <v>30.56</v>
      </c>
      <c r="M68" s="7">
        <v>383</v>
      </c>
      <c r="N68" s="7">
        <f>[1]!Tabelle1325[[#This Row],[Anzahl Frames]]/[1]!Tabelle1325[[#This Row],[Aufnahmezeit '[s']]]</f>
        <v>12.533783783783782</v>
      </c>
      <c r="O68" s="6">
        <f>1/[1]!Tabelle1325[[#This Row],[Mean fps ]]</f>
        <v>7.9784366576819421E-2</v>
      </c>
      <c r="Q68" s="3"/>
      <c r="R68" s="11"/>
      <c r="S68" s="7">
        <v>1.833</v>
      </c>
      <c r="T68" s="7">
        <v>1.589</v>
      </c>
      <c r="U68" s="7">
        <v>2.1659999999999999</v>
      </c>
      <c r="AC68" s="7" t="e">
        <f>Tabelle1321011121517[[#This Row],[SD 1]]/Tabelle1321011121517[[#This Row],[Mean Visc. 1 '[mPas']]]</f>
        <v>#DIV/0!</v>
      </c>
      <c r="AD68" s="7" t="e">
        <f>[1]!Tabelle1325[[#This Row],[SD 2]]/[1]!Tabelle1325[[#This Row],[Mean Visc. 2 '[mPas']2]]</f>
        <v>#DIV/0!</v>
      </c>
      <c r="AE68" s="7" t="e">
        <f>[1]!Tabelle1325[[#This Row],[SD 3]]/[1]!Tabelle1325[[#This Row],[Mean Visc. 3 '[mPas']3]]</f>
        <v>#DIV/0!</v>
      </c>
    </row>
    <row r="69" spans="1:31" s="7" customFormat="1" x14ac:dyDescent="0.3">
      <c r="A69">
        <v>68</v>
      </c>
      <c r="B69" s="4"/>
      <c r="C69" s="5"/>
      <c r="D69" s="7">
        <v>4</v>
      </c>
      <c r="E69" t="s">
        <v>167</v>
      </c>
      <c r="F69" t="s">
        <v>168</v>
      </c>
      <c r="G69" s="23"/>
      <c r="H69" s="12" t="s">
        <v>160</v>
      </c>
      <c r="I69" s="9" t="s">
        <v>12</v>
      </c>
      <c r="J69" s="7">
        <v>24.3</v>
      </c>
      <c r="K69" s="7">
        <v>10</v>
      </c>
      <c r="L69" s="7">
        <v>31.12</v>
      </c>
      <c r="M69" s="7">
        <v>390</v>
      </c>
      <c r="N69" s="7">
        <f>[1]!Tabelle1325[[#This Row],[Anzahl Frames]]/[1]!Tabelle1325[[#This Row],[Aufnahmezeit '[s']]]</f>
        <v>12.503878374185543</v>
      </c>
      <c r="O69" s="6">
        <f>1/[1]!Tabelle1325[[#This Row],[Mean fps ]]</f>
        <v>7.9975186104218346E-2</v>
      </c>
      <c r="Q69" s="3"/>
      <c r="R69" s="11"/>
      <c r="S69" s="7">
        <v>1.734</v>
      </c>
      <c r="T69" s="7">
        <v>1.556</v>
      </c>
      <c r="U69" s="7">
        <v>2.2160000000000002</v>
      </c>
      <c r="AC69" s="7" t="e">
        <f>Tabelle1321011121517[[#This Row],[SD 1]]/Tabelle1321011121517[[#This Row],[Mean Visc. 1 '[mPas']]]</f>
        <v>#DIV/0!</v>
      </c>
      <c r="AD69" s="7" t="e">
        <f>[1]!Tabelle1325[[#This Row],[SD 2]]/[1]!Tabelle1325[[#This Row],[Mean Visc. 2 '[mPas']2]]</f>
        <v>#DIV/0!</v>
      </c>
      <c r="AE69" s="7" t="e">
        <f>[1]!Tabelle1325[[#This Row],[SD 3]]/[1]!Tabelle1325[[#This Row],[Mean Visc. 3 '[mPas']3]]</f>
        <v>#DIV/0!</v>
      </c>
    </row>
    <row r="70" spans="1:31" s="7" customFormat="1" x14ac:dyDescent="0.3">
      <c r="A70">
        <v>69</v>
      </c>
      <c r="B70" s="4"/>
      <c r="C70" s="5"/>
      <c r="D70" s="7">
        <v>4</v>
      </c>
      <c r="E70" t="s">
        <v>167</v>
      </c>
      <c r="F70" t="s">
        <v>168</v>
      </c>
      <c r="G70" s="23"/>
      <c r="H70" s="12" t="s">
        <v>160</v>
      </c>
      <c r="I70" s="9" t="s">
        <v>12</v>
      </c>
      <c r="J70" s="7">
        <v>24.3</v>
      </c>
      <c r="K70" s="7">
        <v>10</v>
      </c>
      <c r="L70" s="7">
        <v>30.48</v>
      </c>
      <c r="M70" s="7">
        <v>382</v>
      </c>
      <c r="N70" s="7">
        <f>[1]!Tabelle1325[[#This Row],[Anzahl Frames]]/[1]!Tabelle1325[[#This Row],[Aufnahmezeit '[s']]]</f>
        <v>12.5</v>
      </c>
      <c r="O70" s="6">
        <f>1/[1]!Tabelle1325[[#This Row],[Mean fps ]]</f>
        <v>0.08</v>
      </c>
      <c r="Q70" s="3"/>
      <c r="R70" s="11"/>
      <c r="S70" s="7">
        <v>1.9019999999999999</v>
      </c>
      <c r="T70" s="7">
        <v>1.6</v>
      </c>
      <c r="U70" s="7">
        <v>2.1440000000000001</v>
      </c>
      <c r="AC70" s="7" t="e">
        <f>Tabelle1321011121517[[#This Row],[SD 1]]/Tabelle1321011121517[[#This Row],[Mean Visc. 1 '[mPas']]]</f>
        <v>#DIV/0!</v>
      </c>
      <c r="AD70" s="7" t="e">
        <f>[1]!Tabelle1325[[#This Row],[SD 2]]/[1]!Tabelle1325[[#This Row],[Mean Visc. 2 '[mPas']2]]</f>
        <v>#DIV/0!</v>
      </c>
      <c r="AE70" s="7" t="e">
        <f>[1]!Tabelle1325[[#This Row],[SD 3]]/[1]!Tabelle1325[[#This Row],[Mean Visc. 3 '[mPas']3]]</f>
        <v>#DIV/0!</v>
      </c>
    </row>
    <row r="71" spans="1:31" s="17" customFormat="1" ht="15" thickBot="1" x14ac:dyDescent="0.35">
      <c r="A71">
        <v>70</v>
      </c>
      <c r="B71" s="15"/>
      <c r="C71" s="16"/>
      <c r="D71" s="17">
        <v>4</v>
      </c>
      <c r="E71" t="s">
        <v>167</v>
      </c>
      <c r="F71" t="s">
        <v>168</v>
      </c>
      <c r="G71" s="24"/>
      <c r="H71" s="12" t="s">
        <v>160</v>
      </c>
      <c r="I71" s="9" t="s">
        <v>12</v>
      </c>
      <c r="J71" s="17">
        <v>24.4</v>
      </c>
      <c r="K71" s="17">
        <v>10</v>
      </c>
      <c r="L71" s="17">
        <v>29.92</v>
      </c>
      <c r="M71" s="17">
        <v>374</v>
      </c>
      <c r="N71" s="17">
        <f>[1]!Tabelle1325[[#This Row],[Anzahl Frames]]/[1]!Tabelle1325[[#This Row],[Aufnahmezeit '[s']]]</f>
        <v>12.5</v>
      </c>
      <c r="O71" s="25">
        <f>1/[1]!Tabelle1325[[#This Row],[Mean fps ]]</f>
        <v>0.08</v>
      </c>
      <c r="Q71" s="20"/>
      <c r="R71" s="21"/>
      <c r="S71" s="17">
        <v>1.883</v>
      </c>
      <c r="T71" s="17">
        <v>1.621</v>
      </c>
      <c r="U71" s="17">
        <v>2.254</v>
      </c>
      <c r="W71" s="7">
        <f>SUM(S62:S71)/10</f>
        <v>1.8543000000000003</v>
      </c>
      <c r="X71" s="7">
        <f t="shared" ref="X71:Y71" si="13">SUM(T62:T71)/10</f>
        <v>1.6251000000000002</v>
      </c>
      <c r="Y71" s="7">
        <f t="shared" si="13"/>
        <v>2.1648000000000001</v>
      </c>
      <c r="Z71" s="17">
        <f>_xlfn.STDEV.S(S62:S71)</f>
        <v>8.8174133269217747E-2</v>
      </c>
      <c r="AA71" s="17">
        <f>_xlfn.STDEV.S(T62:T71)</f>
        <v>0.10938154424866302</v>
      </c>
      <c r="AB71" s="17">
        <f>_xlfn.STDEV.S(U62:U71)</f>
        <v>0.13084834308805321</v>
      </c>
      <c r="AC71" s="17">
        <f>Tabelle1321011121517[[#This Row],[SD 1]]/Tabelle1321011121517[[#This Row],[Mean Visc. 1 '[mPas']]]</f>
        <v>4.7551169319537151E-2</v>
      </c>
      <c r="AD71" s="17">
        <f>Tabelle1321011121517[[#This Row],[SD 2]]/Tabelle1321011121517[[#This Row],[Mean Visc. 2 '[mPas']2]]</f>
        <v>6.7307577532867521E-2</v>
      </c>
      <c r="AE71" s="17">
        <f>Tabelle1321011121517[[#This Row],[SD 3]]/Tabelle1321011121517[[#This Row],[Mean Visc. 3 '[mPas']3]]</f>
        <v>6.0443617464917408E-2</v>
      </c>
    </row>
    <row r="72" spans="1:31" s="7" customFormat="1" ht="15" thickTop="1" x14ac:dyDescent="0.3">
      <c r="A72">
        <v>71</v>
      </c>
      <c r="B72" s="4"/>
      <c r="C72" s="5"/>
      <c r="D72" s="7">
        <v>4</v>
      </c>
      <c r="E72" t="s">
        <v>167</v>
      </c>
      <c r="F72" t="s">
        <v>168</v>
      </c>
      <c r="G72" s="23"/>
      <c r="H72" s="12" t="s">
        <v>185</v>
      </c>
      <c r="I72" s="9" t="s">
        <v>12</v>
      </c>
      <c r="J72" s="7">
        <v>22.9</v>
      </c>
      <c r="K72" s="7">
        <v>23</v>
      </c>
      <c r="L72" s="7">
        <v>31.28</v>
      </c>
      <c r="M72" s="7">
        <v>393</v>
      </c>
      <c r="N72" s="7">
        <f>[1]!Tabelle1325[[#This Row],[Anzahl Frames]]/[1]!Tabelle1325[[#This Row],[Aufnahmezeit '[s']]]</f>
        <v>12.625923438549362</v>
      </c>
      <c r="O72" s="6">
        <f>1/[1]!Tabelle1325[[#This Row],[Mean fps ]]</f>
        <v>7.9202127659574462E-2</v>
      </c>
      <c r="Q72" s="3"/>
      <c r="R72" s="11"/>
      <c r="S72" s="7">
        <v>1.7250000000000001</v>
      </c>
      <c r="T72" s="7">
        <v>1.391</v>
      </c>
      <c r="U72" s="7">
        <v>2.161</v>
      </c>
      <c r="AC72" s="7" t="e">
        <f>Tabelle1321011121517[[#This Row],[SD 1]]/Tabelle1321011121517[[#This Row],[Mean Visc. 1 '[mPas']]]</f>
        <v>#DIV/0!</v>
      </c>
      <c r="AD72" s="7" t="e">
        <f>[1]!Tabelle1325[[#This Row],[SD 2]]/[1]!Tabelle1325[[#This Row],[Mean Visc. 2 '[mPas']2]]</f>
        <v>#DIV/0!</v>
      </c>
      <c r="AE72" s="7" t="e">
        <f>[1]!Tabelle1325[[#This Row],[SD 3]]/[1]!Tabelle1325[[#This Row],[Mean Visc. 3 '[mPas']3]]</f>
        <v>#DIV/0!</v>
      </c>
    </row>
    <row r="73" spans="1:31" s="7" customFormat="1" x14ac:dyDescent="0.3">
      <c r="A73">
        <v>72</v>
      </c>
      <c r="B73" s="4"/>
      <c r="C73" s="5"/>
      <c r="D73" s="7">
        <v>4</v>
      </c>
      <c r="E73" t="s">
        <v>167</v>
      </c>
      <c r="F73" t="s">
        <v>168</v>
      </c>
      <c r="G73" s="23"/>
      <c r="H73" s="12" t="s">
        <v>185</v>
      </c>
      <c r="I73" s="9" t="s">
        <v>12</v>
      </c>
      <c r="J73" s="7">
        <v>22.9</v>
      </c>
      <c r="K73" s="7">
        <v>23</v>
      </c>
      <c r="L73" s="7">
        <v>32.24</v>
      </c>
      <c r="M73" s="7">
        <v>404</v>
      </c>
      <c r="N73" s="7">
        <f>[1]!Tabelle1325[[#This Row],[Anzahl Frames]]/[1]!Tabelle1325[[#This Row],[Aufnahmezeit '[s']]]</f>
        <v>12.491672218520986</v>
      </c>
      <c r="O73" s="6">
        <f>1/[1]!Tabelle1325[[#This Row],[Mean fps ]]</f>
        <v>8.0053333333333337E-2</v>
      </c>
      <c r="Q73" s="3"/>
      <c r="R73" s="11"/>
      <c r="S73" s="7">
        <v>1.726</v>
      </c>
      <c r="T73" s="7">
        <v>1.4159999999999999</v>
      </c>
      <c r="U73" s="7">
        <v>2.1019999999999999</v>
      </c>
      <c r="AC73" s="7" t="e">
        <f>Tabelle1321011121517[[#This Row],[SD 1]]/Tabelle1321011121517[[#This Row],[Mean Visc. 1 '[mPas']]]</f>
        <v>#DIV/0!</v>
      </c>
      <c r="AD73" s="7" t="e">
        <f>[1]!Tabelle1325[[#This Row],[SD 2]]/[1]!Tabelle1325[[#This Row],[Mean Visc. 2 '[mPas']2]]</f>
        <v>#DIV/0!</v>
      </c>
      <c r="AE73" s="7" t="e">
        <f>[1]!Tabelle1325[[#This Row],[SD 3]]/[1]!Tabelle1325[[#This Row],[Mean Visc. 3 '[mPas']3]]</f>
        <v>#DIV/0!</v>
      </c>
    </row>
    <row r="74" spans="1:31" s="7" customFormat="1" x14ac:dyDescent="0.3">
      <c r="A74">
        <v>73</v>
      </c>
      <c r="B74" s="4"/>
      <c r="C74" s="5"/>
      <c r="D74" s="7">
        <v>4</v>
      </c>
      <c r="E74" t="s">
        <v>167</v>
      </c>
      <c r="F74" t="s">
        <v>168</v>
      </c>
      <c r="G74" s="23"/>
      <c r="H74" s="12" t="s">
        <v>185</v>
      </c>
      <c r="I74" s="9" t="s">
        <v>12</v>
      </c>
      <c r="J74" s="7">
        <v>22.9</v>
      </c>
      <c r="K74" s="7">
        <v>23</v>
      </c>
      <c r="L74" s="7">
        <v>30.72</v>
      </c>
      <c r="M74" s="7">
        <v>385</v>
      </c>
      <c r="N74" s="7">
        <f>[1]!Tabelle1325[[#This Row],[Anzahl Frames]]/[1]!Tabelle1325[[#This Row],[Aufnahmezeit '[s']]]</f>
        <v>12.491909385113269</v>
      </c>
      <c r="O74" s="6">
        <f>1/[1]!Tabelle1325[[#This Row],[Mean fps ]]</f>
        <v>8.0051813471502586E-2</v>
      </c>
      <c r="Q74" s="3"/>
      <c r="R74" s="11"/>
      <c r="S74" s="7">
        <v>1.554</v>
      </c>
      <c r="T74" s="7">
        <v>1.4970000000000001</v>
      </c>
      <c r="U74" s="7">
        <v>1.925</v>
      </c>
      <c r="AC74" s="7" t="e">
        <f>Tabelle1321011121517[[#This Row],[SD 1]]/Tabelle1321011121517[[#This Row],[Mean Visc. 1 '[mPas']]]</f>
        <v>#DIV/0!</v>
      </c>
      <c r="AD74" s="7" t="e">
        <f>[1]!Tabelle1325[[#This Row],[SD 2]]/[1]!Tabelle1325[[#This Row],[Mean Visc. 2 '[mPas']2]]</f>
        <v>#DIV/0!</v>
      </c>
      <c r="AE74" s="7" t="e">
        <f>[1]!Tabelle1325[[#This Row],[SD 3]]/[1]!Tabelle1325[[#This Row],[Mean Visc. 3 '[mPas']3]]</f>
        <v>#DIV/0!</v>
      </c>
    </row>
    <row r="75" spans="1:31" s="7" customFormat="1" x14ac:dyDescent="0.3">
      <c r="A75">
        <v>74</v>
      </c>
      <c r="B75" s="4"/>
      <c r="C75" s="5"/>
      <c r="D75" s="7">
        <v>4</v>
      </c>
      <c r="E75" t="s">
        <v>167</v>
      </c>
      <c r="F75" t="s">
        <v>168</v>
      </c>
      <c r="G75" s="23"/>
      <c r="H75" s="12" t="s">
        <v>185</v>
      </c>
      <c r="I75" s="9" t="s">
        <v>12</v>
      </c>
      <c r="J75" s="7">
        <v>23</v>
      </c>
      <c r="K75" s="7">
        <v>23</v>
      </c>
      <c r="L75" s="7">
        <v>30.4</v>
      </c>
      <c r="M75" s="7">
        <v>381</v>
      </c>
      <c r="N75" s="7">
        <f>[1]!Tabelle1325[[#This Row],[Anzahl Frames]]/[1]!Tabelle1325[[#This Row],[Aufnahmezeit '[s']]]</f>
        <v>12.49582358837287</v>
      </c>
      <c r="O75" s="6">
        <f>1/[1]!Tabelle1325[[#This Row],[Mean fps ]]</f>
        <v>8.0026737967914444E-2</v>
      </c>
      <c r="Q75" s="3"/>
      <c r="R75" s="11"/>
      <c r="S75" s="7">
        <v>1.6890000000000001</v>
      </c>
      <c r="T75" s="7">
        <v>1.427</v>
      </c>
      <c r="U75" s="7">
        <v>2.085</v>
      </c>
      <c r="AC75" s="7" t="e">
        <f>Tabelle1321011121517[[#This Row],[SD 1]]/Tabelle1321011121517[[#This Row],[Mean Visc. 1 '[mPas']]]</f>
        <v>#DIV/0!</v>
      </c>
      <c r="AD75" s="7" t="e">
        <f>[1]!Tabelle1325[[#This Row],[SD 2]]/[1]!Tabelle1325[[#This Row],[Mean Visc. 2 '[mPas']2]]</f>
        <v>#DIV/0!</v>
      </c>
      <c r="AE75" s="7" t="e">
        <f>[1]!Tabelle1325[[#This Row],[SD 3]]/[1]!Tabelle1325[[#This Row],[Mean Visc. 3 '[mPas']3]]</f>
        <v>#DIV/0!</v>
      </c>
    </row>
    <row r="76" spans="1:31" s="17" customFormat="1" ht="15" thickBot="1" x14ac:dyDescent="0.35">
      <c r="A76">
        <v>75</v>
      </c>
      <c r="B76" s="15"/>
      <c r="C76" s="16"/>
      <c r="D76" s="17">
        <v>4</v>
      </c>
      <c r="E76" t="s">
        <v>167</v>
      </c>
      <c r="F76" t="s">
        <v>168</v>
      </c>
      <c r="G76" s="24"/>
      <c r="H76" s="12" t="s">
        <v>185</v>
      </c>
      <c r="I76" s="9" t="s">
        <v>12</v>
      </c>
      <c r="J76" s="17">
        <v>23</v>
      </c>
      <c r="K76" s="17">
        <v>23</v>
      </c>
      <c r="L76" s="17">
        <v>30.24</v>
      </c>
      <c r="M76" s="17">
        <v>379</v>
      </c>
      <c r="N76" s="17">
        <f>[1]!Tabelle1325[[#This Row],[Anzahl Frames]]/[1]!Tabelle1325[[#This Row],[Aufnahmezeit '[s']]]</f>
        <v>12.533422459893048</v>
      </c>
      <c r="O76" s="25">
        <f>1/[1]!Tabelle1325[[#This Row],[Mean fps ]]</f>
        <v>7.9786666666666672E-2</v>
      </c>
      <c r="Q76" s="20"/>
      <c r="R76" s="21"/>
      <c r="S76" s="17">
        <v>1.5489999999999999</v>
      </c>
      <c r="T76" s="17">
        <v>1.321</v>
      </c>
      <c r="U76" s="17">
        <v>1.98</v>
      </c>
      <c r="AC76" s="17" t="e">
        <f>Tabelle1321011121517[[#This Row],[SD 1]]/Tabelle1321011121517[[#This Row],[Mean Visc. 1 '[mPas']]]</f>
        <v>#DIV/0!</v>
      </c>
      <c r="AD76" s="17" t="e">
        <f>[1]!Tabelle1325[[#This Row],[SD 2]]/[1]!Tabelle1325[[#This Row],[Mean Visc. 2 '[mPas']2]]</f>
        <v>#DIV/0!</v>
      </c>
      <c r="AE76" s="17" t="e">
        <f>[1]!Tabelle1325[[#This Row],[SD 3]]/[1]!Tabelle1325[[#This Row],[Mean Visc. 3 '[mPas']3]]</f>
        <v>#DIV/0!</v>
      </c>
    </row>
    <row r="77" spans="1:31" s="7" customFormat="1" ht="15" thickTop="1" x14ac:dyDescent="0.3">
      <c r="A77">
        <v>76</v>
      </c>
      <c r="B77" s="4"/>
      <c r="C77" s="5"/>
      <c r="D77" s="7">
        <v>4</v>
      </c>
      <c r="E77" t="s">
        <v>167</v>
      </c>
      <c r="F77" t="s">
        <v>168</v>
      </c>
      <c r="G77" s="23"/>
      <c r="H77" s="12" t="s">
        <v>185</v>
      </c>
      <c r="I77" s="9" t="s">
        <v>12</v>
      </c>
      <c r="J77" s="7">
        <v>23.1</v>
      </c>
      <c r="K77" s="7">
        <v>23</v>
      </c>
      <c r="L77" s="7">
        <v>30.08</v>
      </c>
      <c r="M77" s="7">
        <v>377</v>
      </c>
      <c r="N77" s="7">
        <f>[1]!Tabelle1325[[#This Row],[Anzahl Frames]]/[1]!Tabelle1325[[#This Row],[Aufnahmezeit '[s']]]</f>
        <v>12.5</v>
      </c>
      <c r="O77" s="6">
        <f>1/[1]!Tabelle1325[[#This Row],[Mean fps ]]</f>
        <v>0.08</v>
      </c>
      <c r="Q77" s="3"/>
      <c r="R77" s="11"/>
      <c r="S77" s="7">
        <v>1.546</v>
      </c>
      <c r="T77" s="7">
        <v>1.2490000000000001</v>
      </c>
      <c r="U77" s="7">
        <v>1.907</v>
      </c>
      <c r="AC77" s="7" t="e">
        <f>Tabelle1321011121517[[#This Row],[SD 1]]/Tabelle1321011121517[[#This Row],[Mean Visc. 1 '[mPas']]]</f>
        <v>#DIV/0!</v>
      </c>
      <c r="AD77" s="7" t="e">
        <f>[1]!Tabelle1325[[#This Row],[SD 2]]/[1]!Tabelle1325[[#This Row],[Mean Visc. 2 '[mPas']2]]</f>
        <v>#DIV/0!</v>
      </c>
      <c r="AE77" s="7" t="e">
        <f>[1]!Tabelle1325[[#This Row],[SD 3]]/[1]!Tabelle1325[[#This Row],[Mean Visc. 3 '[mPas']3]]</f>
        <v>#DIV/0!</v>
      </c>
    </row>
    <row r="78" spans="1:31" s="7" customFormat="1" x14ac:dyDescent="0.3">
      <c r="A78">
        <v>77</v>
      </c>
      <c r="B78" s="4"/>
      <c r="C78" s="5"/>
      <c r="D78" s="7">
        <v>4</v>
      </c>
      <c r="E78" t="s">
        <v>167</v>
      </c>
      <c r="F78" t="s">
        <v>168</v>
      </c>
      <c r="G78" s="23"/>
      <c r="H78" s="12" t="s">
        <v>185</v>
      </c>
      <c r="I78" s="9" t="s">
        <v>12</v>
      </c>
      <c r="J78" s="7">
        <v>23.1</v>
      </c>
      <c r="K78" s="7">
        <v>23</v>
      </c>
      <c r="L78" s="7">
        <v>30</v>
      </c>
      <c r="M78" s="7">
        <v>375</v>
      </c>
      <c r="N78" s="7">
        <f>[1]!Tabelle1325[[#This Row],[Anzahl Frames]]/[1]!Tabelle1325[[#This Row],[Aufnahmezeit '[s']]]</f>
        <v>12.5</v>
      </c>
      <c r="O78" s="6">
        <f>1/[1]!Tabelle1325[[#This Row],[Mean fps ]]</f>
        <v>0.08</v>
      </c>
      <c r="Q78" s="3"/>
      <c r="R78" s="11"/>
      <c r="S78" s="7">
        <v>1.512</v>
      </c>
      <c r="T78" s="7">
        <v>1.258</v>
      </c>
      <c r="U78" s="7">
        <v>1.93</v>
      </c>
      <c r="AC78" s="7" t="e">
        <f>Tabelle1321011121517[[#This Row],[SD 1]]/Tabelle1321011121517[[#This Row],[Mean Visc. 1 '[mPas']]]</f>
        <v>#DIV/0!</v>
      </c>
      <c r="AD78" s="7" t="e">
        <f>[1]!Tabelle1325[[#This Row],[SD 2]]/[1]!Tabelle1325[[#This Row],[Mean Visc. 2 '[mPas']2]]</f>
        <v>#DIV/0!</v>
      </c>
      <c r="AE78" s="7" t="e">
        <f>[1]!Tabelle1325[[#This Row],[SD 3]]/[1]!Tabelle1325[[#This Row],[Mean Visc. 3 '[mPas']3]]</f>
        <v>#DIV/0!</v>
      </c>
    </row>
    <row r="79" spans="1:31" s="7" customFormat="1" x14ac:dyDescent="0.3">
      <c r="A79">
        <v>78</v>
      </c>
      <c r="B79" s="4"/>
      <c r="C79" s="5"/>
      <c r="D79" s="7">
        <v>4</v>
      </c>
      <c r="E79" t="s">
        <v>167</v>
      </c>
      <c r="F79" t="s">
        <v>168</v>
      </c>
      <c r="G79" s="23"/>
      <c r="H79" s="12" t="s">
        <v>185</v>
      </c>
      <c r="I79" s="9" t="s">
        <v>12</v>
      </c>
      <c r="J79" s="7">
        <v>23.2</v>
      </c>
      <c r="K79" s="7">
        <v>23</v>
      </c>
      <c r="L79" s="7">
        <v>30.48</v>
      </c>
      <c r="M79" s="7">
        <v>381</v>
      </c>
      <c r="N79" s="7">
        <f>[1]!Tabelle1325[[#This Row],[Anzahl Frames]]/[1]!Tabelle1325[[#This Row],[Aufnahmezeit '[s']]]</f>
        <v>12.533602150537634</v>
      </c>
      <c r="O79" s="6">
        <f>1/[1]!Tabelle1325[[#This Row],[Mean fps ]]</f>
        <v>7.978552278820375E-2</v>
      </c>
      <c r="Q79" s="3"/>
      <c r="R79" s="11"/>
      <c r="S79" s="7">
        <v>1.577</v>
      </c>
      <c r="T79" s="7">
        <v>1.341</v>
      </c>
      <c r="U79" s="7">
        <v>2.0579999999999998</v>
      </c>
      <c r="AC79" s="7" t="e">
        <f>Tabelle1321011121517[[#This Row],[SD 1]]/Tabelle1321011121517[[#This Row],[Mean Visc. 1 '[mPas']]]</f>
        <v>#DIV/0!</v>
      </c>
      <c r="AD79" s="7" t="e">
        <f>[1]!Tabelle1325[[#This Row],[SD 2]]/[1]!Tabelle1325[[#This Row],[Mean Visc. 2 '[mPas']2]]</f>
        <v>#DIV/0!</v>
      </c>
      <c r="AE79" s="7" t="e">
        <f>[1]!Tabelle1325[[#This Row],[SD 3]]/[1]!Tabelle1325[[#This Row],[Mean Visc. 3 '[mPas']3]]</f>
        <v>#DIV/0!</v>
      </c>
    </row>
    <row r="80" spans="1:31" s="7" customFormat="1" x14ac:dyDescent="0.3">
      <c r="A80">
        <v>79</v>
      </c>
      <c r="B80" s="4"/>
      <c r="C80" s="5"/>
      <c r="D80" s="7">
        <v>4</v>
      </c>
      <c r="E80" t="s">
        <v>167</v>
      </c>
      <c r="F80" t="s">
        <v>168</v>
      </c>
      <c r="G80" s="23"/>
      <c r="H80" s="12" t="s">
        <v>185</v>
      </c>
      <c r="I80" s="9" t="s">
        <v>12</v>
      </c>
      <c r="J80" s="7">
        <v>23.3</v>
      </c>
      <c r="K80" s="7">
        <v>23</v>
      </c>
      <c r="L80" s="7">
        <v>29.84</v>
      </c>
      <c r="M80" s="7">
        <v>374</v>
      </c>
      <c r="N80" s="7">
        <f>[1]!Tabelle1325[[#This Row],[Anzahl Frames]]/[1]!Tabelle1325[[#This Row],[Aufnahmezeit '[s']]]</f>
        <v>12.532981530343008</v>
      </c>
      <c r="O80" s="6">
        <f>1/[1]!Tabelle1325[[#This Row],[Mean fps ]]</f>
        <v>7.9789473684210521E-2</v>
      </c>
      <c r="Q80" s="3"/>
      <c r="R80" s="11"/>
      <c r="S80" s="7">
        <v>1.726</v>
      </c>
      <c r="T80" s="7">
        <v>1.2949999999999999</v>
      </c>
      <c r="U80" s="7">
        <v>1.9470000000000001</v>
      </c>
      <c r="AC80" s="7" t="e">
        <f>Tabelle1321011121517[[#This Row],[SD 1]]/Tabelle1321011121517[[#This Row],[Mean Visc. 1 '[mPas']]]</f>
        <v>#DIV/0!</v>
      </c>
      <c r="AD80" s="7" t="e">
        <f>[1]!Tabelle1325[[#This Row],[SD 2]]/[1]!Tabelle1325[[#This Row],[Mean Visc. 2 '[mPas']2]]</f>
        <v>#DIV/0!</v>
      </c>
      <c r="AE80" s="7" t="e">
        <f>[1]!Tabelle1325[[#This Row],[SD 3]]/[1]!Tabelle1325[[#This Row],[Mean Visc. 3 '[mPas']3]]</f>
        <v>#DIV/0!</v>
      </c>
    </row>
    <row r="81" spans="1:31" s="17" customFormat="1" ht="15" thickBot="1" x14ac:dyDescent="0.35">
      <c r="A81">
        <v>80</v>
      </c>
      <c r="B81" s="15"/>
      <c r="C81" s="16"/>
      <c r="D81" s="17">
        <v>4</v>
      </c>
      <c r="E81" t="s">
        <v>167</v>
      </c>
      <c r="F81" t="s">
        <v>168</v>
      </c>
      <c r="G81" s="24"/>
      <c r="H81" s="12" t="s">
        <v>185</v>
      </c>
      <c r="I81" s="9" t="s">
        <v>12</v>
      </c>
      <c r="J81" s="17">
        <v>23.4</v>
      </c>
      <c r="K81" s="17">
        <v>23</v>
      </c>
      <c r="L81" s="17">
        <v>30</v>
      </c>
      <c r="M81" s="17">
        <v>375</v>
      </c>
      <c r="N81" s="17">
        <f>[1]!Tabelle1325[[#This Row],[Anzahl Frames]]/[1]!Tabelle1325[[#This Row],[Aufnahmezeit '[s']]]</f>
        <v>12.5</v>
      </c>
      <c r="O81" s="25">
        <f>1/[1]!Tabelle1325[[#This Row],[Mean fps ]]</f>
        <v>0.08</v>
      </c>
      <c r="Q81" s="20"/>
      <c r="R81" s="21"/>
      <c r="S81" s="17">
        <v>1.522</v>
      </c>
      <c r="T81" s="17">
        <v>1.387</v>
      </c>
      <c r="U81" s="17">
        <v>2.0190000000000001</v>
      </c>
      <c r="W81" s="7">
        <f>SUM(S72:S81)/10</f>
        <v>1.6125999999999998</v>
      </c>
      <c r="X81" s="7">
        <f t="shared" ref="X81" si="14">SUM(T72:T81)/10</f>
        <v>1.3582000000000001</v>
      </c>
      <c r="Y81" s="7">
        <f t="shared" ref="Y81" si="15">SUM(U72:U81)/10</f>
        <v>2.0113999999999996</v>
      </c>
      <c r="Z81" s="17">
        <f>_xlfn.STDEV.S(S72:S81)</f>
        <v>9.171235225178534E-2</v>
      </c>
      <c r="AA81" s="17">
        <f>_xlfn.STDEV.S(T72:T81)</f>
        <v>7.9500943390629034E-2</v>
      </c>
      <c r="AB81" s="17">
        <f>_xlfn.STDEV.S(U72:U81)</f>
        <v>8.7151464576206483E-2</v>
      </c>
      <c r="AC81" s="17">
        <f>Tabelle1321011121517[[#This Row],[SD 1]]/Tabelle1321011121517[[#This Row],[Mean Visc. 1 '[mPas']]]</f>
        <v>5.687235039798174E-2</v>
      </c>
      <c r="AD81" s="17">
        <f>Tabelle1321011121517[[#This Row],[SD 2]]/Tabelle1321011121517[[#This Row],[Mean Visc. 2 '[mPas']2]]</f>
        <v>5.8534047556051412E-2</v>
      </c>
      <c r="AE81" s="17">
        <f>Tabelle1321011121517[[#This Row],[SD 3]]/Tabelle1321011121517[[#This Row],[Mean Visc. 3 '[mPas']3]]</f>
        <v>4.3328758365420356E-2</v>
      </c>
    </row>
    <row r="82" spans="1:31" s="7" customFormat="1" ht="15" thickTop="1" x14ac:dyDescent="0.3">
      <c r="A82">
        <v>81</v>
      </c>
      <c r="B82" s="4"/>
      <c r="C82" s="5"/>
      <c r="D82" s="7">
        <v>5</v>
      </c>
      <c r="E82" t="s">
        <v>171</v>
      </c>
      <c r="F82" t="s">
        <v>168</v>
      </c>
      <c r="G82" s="23"/>
      <c r="H82" s="12" t="s">
        <v>160</v>
      </c>
      <c r="I82" s="9" t="s">
        <v>12</v>
      </c>
      <c r="J82" s="7">
        <v>23.8</v>
      </c>
      <c r="K82" s="7">
        <v>21</v>
      </c>
      <c r="L82" s="7">
        <v>30.72</v>
      </c>
      <c r="M82" s="7">
        <v>385</v>
      </c>
      <c r="N82" s="7">
        <f>[1]!Tabelle1325[[#This Row],[Anzahl Frames]]/[1]!Tabelle1325[[#This Row],[Aufnahmezeit '[s']]]</f>
        <v>12.5</v>
      </c>
      <c r="O82" s="6">
        <f>1/[1]!Tabelle1325[[#This Row],[Mean fps ]]</f>
        <v>0.08</v>
      </c>
      <c r="Q82" s="3"/>
      <c r="R82" s="11"/>
      <c r="S82" s="7">
        <v>1.9850000000000001</v>
      </c>
      <c r="T82" s="7">
        <v>1.6719999999999999</v>
      </c>
      <c r="U82" s="7">
        <v>2.3460000000000001</v>
      </c>
      <c r="AC82" s="7" t="e">
        <f>Tabelle1321011121517[[#This Row],[SD 1]]/Tabelle1321011121517[[#This Row],[Mean Visc. 1 '[mPas']]]</f>
        <v>#DIV/0!</v>
      </c>
      <c r="AD82" s="7" t="e">
        <f>[1]!Tabelle1325[[#This Row],[SD 2]]/[1]!Tabelle1325[[#This Row],[Mean Visc. 2 '[mPas']2]]</f>
        <v>#DIV/0!</v>
      </c>
      <c r="AE82" s="7" t="e">
        <f>[1]!Tabelle1325[[#This Row],[SD 3]]/[1]!Tabelle1325[[#This Row],[Mean Visc. 3 '[mPas']3]]</f>
        <v>#DIV/0!</v>
      </c>
    </row>
    <row r="83" spans="1:31" s="7" customFormat="1" x14ac:dyDescent="0.3">
      <c r="A83">
        <v>82</v>
      </c>
      <c r="B83" s="4"/>
      <c r="C83" s="5"/>
      <c r="D83" s="7">
        <v>5</v>
      </c>
      <c r="E83" t="s">
        <v>171</v>
      </c>
      <c r="F83" t="s">
        <v>168</v>
      </c>
      <c r="G83" s="23"/>
      <c r="H83" s="12" t="s">
        <v>160</v>
      </c>
      <c r="I83" s="9" t="s">
        <v>12</v>
      </c>
      <c r="J83" s="7">
        <v>23.9</v>
      </c>
      <c r="K83" s="7">
        <v>21</v>
      </c>
      <c r="L83" s="7">
        <v>30.32</v>
      </c>
      <c r="M83" s="7">
        <v>380</v>
      </c>
      <c r="N83" s="7">
        <f>[1]!Tabelle1325[[#This Row],[Anzahl Frames]]/[1]!Tabelle1325[[#This Row],[Aufnahmezeit '[s']]]</f>
        <v>12.5</v>
      </c>
      <c r="O83" s="6">
        <f>1/[1]!Tabelle1325[[#This Row],[Mean fps ]]</f>
        <v>0.08</v>
      </c>
      <c r="Q83" s="3"/>
      <c r="R83" s="11"/>
      <c r="S83" s="7">
        <v>1.819</v>
      </c>
      <c r="T83" s="7">
        <v>1.609</v>
      </c>
      <c r="U83" s="7">
        <v>2.0649999999999999</v>
      </c>
      <c r="AC83" s="7" t="e">
        <f>Tabelle1321011121517[[#This Row],[SD 1]]/Tabelle1321011121517[[#This Row],[Mean Visc. 1 '[mPas']]]</f>
        <v>#DIV/0!</v>
      </c>
      <c r="AD83" s="7" t="e">
        <f>[1]!Tabelle1325[[#This Row],[SD 2]]/[1]!Tabelle1325[[#This Row],[Mean Visc. 2 '[mPas']2]]</f>
        <v>#DIV/0!</v>
      </c>
      <c r="AE83" s="7" t="e">
        <f>[1]!Tabelle1325[[#This Row],[SD 3]]/[1]!Tabelle1325[[#This Row],[Mean Visc. 3 '[mPas']3]]</f>
        <v>#DIV/0!</v>
      </c>
    </row>
    <row r="84" spans="1:31" s="7" customFormat="1" x14ac:dyDescent="0.3">
      <c r="A84">
        <v>83</v>
      </c>
      <c r="B84" s="4"/>
      <c r="C84" s="5"/>
      <c r="D84" s="7">
        <v>5</v>
      </c>
      <c r="E84" t="s">
        <v>171</v>
      </c>
      <c r="F84" t="s">
        <v>168</v>
      </c>
      <c r="G84" s="23"/>
      <c r="H84" s="12" t="s">
        <v>160</v>
      </c>
      <c r="I84" s="9" t="s">
        <v>12</v>
      </c>
      <c r="J84" s="7">
        <v>23.9</v>
      </c>
      <c r="K84" s="7">
        <v>21</v>
      </c>
      <c r="L84" s="7">
        <v>30.96</v>
      </c>
      <c r="M84" s="7">
        <v>387</v>
      </c>
      <c r="N84" s="7">
        <f>[1]!Tabelle1325[[#This Row],[Anzahl Frames]]/[1]!Tabelle1325[[#This Row],[Aufnahmezeit '[s']]]</f>
        <v>12.5</v>
      </c>
      <c r="O84" s="6">
        <f>1/[1]!Tabelle1325[[#This Row],[Mean fps ]]</f>
        <v>0.08</v>
      </c>
      <c r="Q84" s="3"/>
      <c r="R84" s="11"/>
      <c r="S84" s="7">
        <v>1.873</v>
      </c>
      <c r="T84" s="7">
        <v>1.5980000000000001</v>
      </c>
      <c r="U84" s="7">
        <v>2.3159999999999998</v>
      </c>
      <c r="AC84" s="7" t="e">
        <f>Tabelle1321011121517[[#This Row],[SD 1]]/Tabelle1321011121517[[#This Row],[Mean Visc. 1 '[mPas']]]</f>
        <v>#DIV/0!</v>
      </c>
      <c r="AD84" s="7" t="e">
        <f>[1]!Tabelle1325[[#This Row],[SD 2]]/[1]!Tabelle1325[[#This Row],[Mean Visc. 2 '[mPas']2]]</f>
        <v>#DIV/0!</v>
      </c>
      <c r="AE84" s="7" t="e">
        <f>[1]!Tabelle1325[[#This Row],[SD 3]]/[1]!Tabelle1325[[#This Row],[Mean Visc. 3 '[mPas']3]]</f>
        <v>#DIV/0!</v>
      </c>
    </row>
    <row r="85" spans="1:31" s="7" customFormat="1" x14ac:dyDescent="0.3">
      <c r="A85">
        <v>84</v>
      </c>
      <c r="B85" s="4"/>
      <c r="C85" s="5"/>
      <c r="D85" s="7">
        <v>5</v>
      </c>
      <c r="E85" t="s">
        <v>171</v>
      </c>
      <c r="F85" t="s">
        <v>168</v>
      </c>
      <c r="G85" s="23"/>
      <c r="H85" s="12" t="s">
        <v>160</v>
      </c>
      <c r="I85" s="9" t="s">
        <v>12</v>
      </c>
      <c r="J85" s="7">
        <v>24</v>
      </c>
      <c r="K85" s="7">
        <v>21</v>
      </c>
      <c r="L85" s="7">
        <v>30.64</v>
      </c>
      <c r="M85" s="7">
        <v>383</v>
      </c>
      <c r="N85" s="7">
        <f>[1]!Tabelle1325[[#This Row],[Anzahl Frames]]/[1]!Tabelle1325[[#This Row],[Aufnahmezeit '[s']]]</f>
        <v>12.500000000000002</v>
      </c>
      <c r="O85" s="6">
        <f>1/[1]!Tabelle1325[[#This Row],[Mean fps ]]</f>
        <v>7.9999999999999988E-2</v>
      </c>
      <c r="Q85" s="3"/>
      <c r="R85" s="11"/>
      <c r="S85" s="7">
        <v>2.2530000000000001</v>
      </c>
      <c r="T85" s="7">
        <v>1.659</v>
      </c>
      <c r="U85" s="7">
        <v>1.6319999999999999</v>
      </c>
      <c r="AC85" s="7" t="e">
        <f>Tabelle1321011121517[[#This Row],[SD 1]]/Tabelle1321011121517[[#This Row],[Mean Visc. 1 '[mPas']]]</f>
        <v>#DIV/0!</v>
      </c>
      <c r="AD85" s="7" t="e">
        <f>[1]!Tabelle1325[[#This Row],[SD 2]]/[1]!Tabelle1325[[#This Row],[Mean Visc. 2 '[mPas']2]]</f>
        <v>#DIV/0!</v>
      </c>
      <c r="AE85" s="7" t="e">
        <f>[1]!Tabelle1325[[#This Row],[SD 3]]/[1]!Tabelle1325[[#This Row],[Mean Visc. 3 '[mPas']3]]</f>
        <v>#DIV/0!</v>
      </c>
    </row>
    <row r="86" spans="1:31" s="17" customFormat="1" ht="15" thickBot="1" x14ac:dyDescent="0.35">
      <c r="A86">
        <v>85</v>
      </c>
      <c r="B86" s="15"/>
      <c r="C86" s="16"/>
      <c r="D86" s="17">
        <v>5</v>
      </c>
      <c r="E86" t="s">
        <v>171</v>
      </c>
      <c r="F86" t="s">
        <v>168</v>
      </c>
      <c r="G86" s="24"/>
      <c r="H86" s="12" t="s">
        <v>160</v>
      </c>
      <c r="I86" s="9" t="s">
        <v>12</v>
      </c>
      <c r="J86" s="17">
        <v>24</v>
      </c>
      <c r="K86" s="17">
        <v>19</v>
      </c>
      <c r="L86" s="17">
        <v>30.64</v>
      </c>
      <c r="M86" s="17">
        <v>384</v>
      </c>
      <c r="N86" s="17">
        <f>[1]!Tabelle1325[[#This Row],[Anzahl Frames]]/[1]!Tabelle1325[[#This Row],[Aufnahmezeit '[s']]]</f>
        <v>12.5</v>
      </c>
      <c r="O86" s="25">
        <f>1/[1]!Tabelle1325[[#This Row],[Mean fps ]]</f>
        <v>0.08</v>
      </c>
      <c r="Q86" s="20"/>
      <c r="R86" s="21"/>
      <c r="S86" s="17">
        <v>1.8</v>
      </c>
      <c r="T86" s="17">
        <v>1.5069999999999999</v>
      </c>
      <c r="U86" s="17">
        <v>2.2650000000000001</v>
      </c>
      <c r="AC86" s="17" t="e">
        <f>Tabelle1321011121517[[#This Row],[SD 1]]/Tabelle1321011121517[[#This Row],[Mean Visc. 1 '[mPas']]]</f>
        <v>#DIV/0!</v>
      </c>
      <c r="AD86" s="17" t="e">
        <f>[1]!Tabelle1325[[#This Row],[SD 2]]/[1]!Tabelle1325[[#This Row],[Mean Visc. 2 '[mPas']2]]</f>
        <v>#DIV/0!</v>
      </c>
      <c r="AE86" s="17" t="e">
        <f>[1]!Tabelle1325[[#This Row],[SD 3]]/[1]!Tabelle1325[[#This Row],[Mean Visc. 3 '[mPas']3]]</f>
        <v>#DIV/0!</v>
      </c>
    </row>
    <row r="87" spans="1:31" s="7" customFormat="1" ht="15" thickTop="1" x14ac:dyDescent="0.3">
      <c r="A87">
        <v>86</v>
      </c>
      <c r="B87" s="4"/>
      <c r="C87" s="5"/>
      <c r="D87" s="7">
        <v>5</v>
      </c>
      <c r="E87" t="s">
        <v>171</v>
      </c>
      <c r="F87" t="s">
        <v>168</v>
      </c>
      <c r="G87" s="23"/>
      <c r="H87" s="12" t="s">
        <v>160</v>
      </c>
      <c r="I87" s="9" t="s">
        <v>12</v>
      </c>
      <c r="J87" s="7">
        <v>24.1</v>
      </c>
      <c r="K87" s="7">
        <v>19</v>
      </c>
      <c r="L87" s="7">
        <v>30.56</v>
      </c>
      <c r="M87" s="7">
        <v>382</v>
      </c>
      <c r="N87" s="7">
        <f>[1]!Tabelle1325[[#This Row],[Anzahl Frames]]/[1]!Tabelle1325[[#This Row],[Aufnahmezeit '[s']]]</f>
        <v>12.491971740526653</v>
      </c>
      <c r="O87" s="6">
        <f>1/[1]!Tabelle1325[[#This Row],[Mean fps ]]</f>
        <v>8.0051413881748079E-2</v>
      </c>
      <c r="Q87" s="3"/>
      <c r="R87" s="11"/>
      <c r="S87" s="7">
        <v>2.0030000000000001</v>
      </c>
      <c r="T87" s="7">
        <v>1.647</v>
      </c>
      <c r="U87" s="7">
        <v>2.246</v>
      </c>
      <c r="AC87" s="7" t="e">
        <f>Tabelle1321011121517[[#This Row],[SD 1]]/Tabelle1321011121517[[#This Row],[Mean Visc. 1 '[mPas']]]</f>
        <v>#DIV/0!</v>
      </c>
      <c r="AD87" s="7" t="e">
        <f>[1]!Tabelle1325[[#This Row],[SD 2]]/[1]!Tabelle1325[[#This Row],[Mean Visc. 2 '[mPas']2]]</f>
        <v>#DIV/0!</v>
      </c>
      <c r="AE87" s="7" t="e">
        <f>[1]!Tabelle1325[[#This Row],[SD 3]]/[1]!Tabelle1325[[#This Row],[Mean Visc. 3 '[mPas']3]]</f>
        <v>#DIV/0!</v>
      </c>
    </row>
    <row r="88" spans="1:31" s="7" customFormat="1" x14ac:dyDescent="0.3">
      <c r="A88">
        <v>87</v>
      </c>
      <c r="B88" s="4"/>
      <c r="C88" s="5"/>
      <c r="D88" s="7">
        <v>5</v>
      </c>
      <c r="E88" t="s">
        <v>171</v>
      </c>
      <c r="F88" t="s">
        <v>168</v>
      </c>
      <c r="G88" s="23"/>
      <c r="H88" s="12" t="s">
        <v>160</v>
      </c>
      <c r="I88" s="9" t="s">
        <v>12</v>
      </c>
      <c r="J88" s="7">
        <v>24.2</v>
      </c>
      <c r="K88" s="7">
        <v>19</v>
      </c>
      <c r="L88" s="7">
        <v>30.8</v>
      </c>
      <c r="M88" s="7">
        <v>385</v>
      </c>
      <c r="N88" s="7">
        <f>[1]!Tabelle1325[[#This Row],[Anzahl Frames]]/[1]!Tabelle1325[[#This Row],[Aufnahmezeit '[s']]]</f>
        <v>12.530193236714977</v>
      </c>
      <c r="O88" s="6">
        <f>1/[1]!Tabelle1325[[#This Row],[Mean fps ]]</f>
        <v>7.9807228915662637E-2</v>
      </c>
      <c r="Q88" s="3"/>
      <c r="R88" s="11"/>
      <c r="S88" s="7">
        <v>2.101</v>
      </c>
      <c r="T88" s="7">
        <v>1.8149999999999999</v>
      </c>
      <c r="U88" s="7">
        <v>2.4390000000000001</v>
      </c>
      <c r="AC88" s="7" t="e">
        <f>Tabelle1321011121517[[#This Row],[SD 1]]/Tabelle1321011121517[[#This Row],[Mean Visc. 1 '[mPas']]]</f>
        <v>#DIV/0!</v>
      </c>
      <c r="AD88" s="7" t="e">
        <f>[1]!Tabelle1325[[#This Row],[SD 2]]/[1]!Tabelle1325[[#This Row],[Mean Visc. 2 '[mPas']2]]</f>
        <v>#DIV/0!</v>
      </c>
      <c r="AE88" s="7" t="e">
        <f>[1]!Tabelle1325[[#This Row],[SD 3]]/[1]!Tabelle1325[[#This Row],[Mean Visc. 3 '[mPas']3]]</f>
        <v>#DIV/0!</v>
      </c>
    </row>
    <row r="89" spans="1:31" s="7" customFormat="1" x14ac:dyDescent="0.3">
      <c r="A89">
        <v>88</v>
      </c>
      <c r="B89" s="4"/>
      <c r="C89" s="5"/>
      <c r="D89" s="7">
        <v>5</v>
      </c>
      <c r="E89" t="s">
        <v>171</v>
      </c>
      <c r="F89" t="s">
        <v>168</v>
      </c>
      <c r="G89" s="23"/>
      <c r="H89" s="12" t="s">
        <v>160</v>
      </c>
      <c r="I89" s="9" t="s">
        <v>12</v>
      </c>
      <c r="J89" s="7">
        <v>24.2</v>
      </c>
      <c r="K89" s="7">
        <v>19</v>
      </c>
      <c r="L89" s="7">
        <v>29.84</v>
      </c>
      <c r="M89" s="7">
        <v>373</v>
      </c>
      <c r="N89" s="7">
        <f>[1]!Tabelle1325[[#This Row],[Anzahl Frames]]/[1]!Tabelle1325[[#This Row],[Aufnahmezeit '[s']]]</f>
        <v>12.508229098090849</v>
      </c>
      <c r="O89" s="6">
        <f>1/[1]!Tabelle1325[[#This Row],[Mean fps ]]</f>
        <v>7.9947368421052628E-2</v>
      </c>
      <c r="Q89" s="3"/>
      <c r="R89" s="11"/>
      <c r="S89" s="7">
        <v>2</v>
      </c>
      <c r="T89" s="7">
        <v>1.653</v>
      </c>
      <c r="U89" s="7">
        <v>2.42</v>
      </c>
      <c r="AC89" s="7" t="e">
        <f>Tabelle1321011121517[[#This Row],[SD 1]]/Tabelle1321011121517[[#This Row],[Mean Visc. 1 '[mPas']]]</f>
        <v>#DIV/0!</v>
      </c>
      <c r="AD89" s="7" t="e">
        <f>[1]!Tabelle1325[[#This Row],[SD 2]]/[1]!Tabelle1325[[#This Row],[Mean Visc. 2 '[mPas']2]]</f>
        <v>#DIV/0!</v>
      </c>
      <c r="AE89" s="7" t="e">
        <f>[1]!Tabelle1325[[#This Row],[SD 3]]/[1]!Tabelle1325[[#This Row],[Mean Visc. 3 '[mPas']3]]</f>
        <v>#DIV/0!</v>
      </c>
    </row>
    <row r="90" spans="1:31" s="7" customFormat="1" x14ac:dyDescent="0.3">
      <c r="A90">
        <v>89</v>
      </c>
      <c r="B90" s="4"/>
      <c r="C90" s="5"/>
      <c r="D90" s="7">
        <v>5</v>
      </c>
      <c r="E90" t="s">
        <v>171</v>
      </c>
      <c r="F90" t="s">
        <v>168</v>
      </c>
      <c r="G90" s="23"/>
      <c r="H90" s="12" t="s">
        <v>160</v>
      </c>
      <c r="I90" s="9" t="s">
        <v>12</v>
      </c>
      <c r="J90" s="7">
        <v>24.3</v>
      </c>
      <c r="K90" s="7">
        <v>19</v>
      </c>
      <c r="L90" s="7">
        <v>29.92</v>
      </c>
      <c r="M90" s="7">
        <v>374</v>
      </c>
      <c r="N90" s="7">
        <f>[1]!Tabelle1325[[#This Row],[Anzahl Frames]]/[1]!Tabelle1325[[#This Row],[Aufnahmezeit '[s']]]</f>
        <v>12.5</v>
      </c>
      <c r="O90" s="6">
        <f>1/[1]!Tabelle1325[[#This Row],[Mean fps ]]</f>
        <v>0.08</v>
      </c>
      <c r="Q90" s="3"/>
      <c r="R90" s="11"/>
      <c r="S90" s="7">
        <v>2.2450000000000001</v>
      </c>
      <c r="T90" s="7">
        <v>1.8260000000000001</v>
      </c>
      <c r="U90" s="7">
        <v>2.3919999999999999</v>
      </c>
      <c r="AC90" s="7" t="e">
        <f>Tabelle1321011121517[[#This Row],[SD 1]]/Tabelle1321011121517[[#This Row],[Mean Visc. 1 '[mPas']]]</f>
        <v>#DIV/0!</v>
      </c>
      <c r="AD90" s="7" t="e">
        <f>[1]!Tabelle1325[[#This Row],[SD 2]]/[1]!Tabelle1325[[#This Row],[Mean Visc. 2 '[mPas']2]]</f>
        <v>#DIV/0!</v>
      </c>
      <c r="AE90" s="7" t="e">
        <f>[1]!Tabelle1325[[#This Row],[SD 3]]/[1]!Tabelle1325[[#This Row],[Mean Visc. 3 '[mPas']3]]</f>
        <v>#DIV/0!</v>
      </c>
    </row>
    <row r="91" spans="1:31" s="17" customFormat="1" ht="15" thickBot="1" x14ac:dyDescent="0.35">
      <c r="A91">
        <v>90</v>
      </c>
      <c r="B91" s="15"/>
      <c r="C91" s="16"/>
      <c r="D91" s="17">
        <v>5</v>
      </c>
      <c r="E91" t="s">
        <v>171</v>
      </c>
      <c r="F91" t="s">
        <v>168</v>
      </c>
      <c r="G91" s="24"/>
      <c r="H91" s="12" t="s">
        <v>160</v>
      </c>
      <c r="I91" s="9" t="s">
        <v>12</v>
      </c>
      <c r="J91" s="17">
        <v>24.3</v>
      </c>
      <c r="K91" s="17">
        <v>19</v>
      </c>
      <c r="L91" s="17">
        <v>30.88</v>
      </c>
      <c r="M91" s="17">
        <v>386</v>
      </c>
      <c r="N91" s="17">
        <f>[1]!Tabelle1325[[#This Row],[Anzahl Frames]]/[1]!Tabelle1325[[#This Row],[Aufnahmezeit '[s']]]</f>
        <v>12.5</v>
      </c>
      <c r="O91" s="25">
        <f>1/[1]!Tabelle1325[[#This Row],[Mean fps ]]</f>
        <v>0.08</v>
      </c>
      <c r="Q91" s="20"/>
      <c r="R91" s="21"/>
      <c r="S91" s="17">
        <v>1.9359999999999999</v>
      </c>
      <c r="T91" s="17">
        <v>1.7</v>
      </c>
      <c r="U91" s="17">
        <v>2.3250000000000002</v>
      </c>
      <c r="W91" s="7">
        <f>SUM(S82:S91)/10</f>
        <v>2.0015000000000001</v>
      </c>
      <c r="X91" s="7">
        <f t="shared" ref="X91" si="16">SUM(T82:T91)/10</f>
        <v>1.6686000000000001</v>
      </c>
      <c r="Y91" s="7">
        <f t="shared" ref="Y91" si="17">SUM(U82:U91)/10</f>
        <v>2.2445999999999997</v>
      </c>
      <c r="Z91" s="17">
        <f>_xlfn.STDEV.S(S82:S91)</f>
        <v>0.15896627874419716</v>
      </c>
      <c r="AA91" s="17">
        <f>_xlfn.STDEV.S(T82:T91)</f>
        <v>9.5834579702040068E-2</v>
      </c>
      <c r="AB91" s="17">
        <f>_xlfn.STDEV.S(U82:U91)</f>
        <v>0.24038866676927936</v>
      </c>
      <c r="AC91" s="17">
        <f>Tabelle1321011121517[[#This Row],[SD 1]]/Tabelle1321011121517[[#This Row],[Mean Visc. 1 '[mPas']]]</f>
        <v>7.9423571693328587E-2</v>
      </c>
      <c r="AD91" s="17">
        <f>Tabelle1321011121517[[#This Row],[SD 2]]/Tabelle1321011121517[[#This Row],[Mean Visc. 2 '[mPas']2]]</f>
        <v>5.7434124237108988E-2</v>
      </c>
      <c r="AE91" s="17">
        <f>Tabelle1321011121517[[#This Row],[SD 3]]/Tabelle1321011121517[[#This Row],[Mean Visc. 3 '[mPas']3]]</f>
        <v>0.1070964389063884</v>
      </c>
    </row>
    <row r="92" spans="1:31" s="7" customFormat="1" ht="15" thickTop="1" x14ac:dyDescent="0.3">
      <c r="A92">
        <v>91</v>
      </c>
      <c r="B92" s="4"/>
      <c r="C92" s="5"/>
      <c r="D92" s="7">
        <v>5</v>
      </c>
      <c r="E92" t="s">
        <v>171</v>
      </c>
      <c r="F92" t="s">
        <v>168</v>
      </c>
      <c r="G92" s="23"/>
      <c r="H92" s="12" t="s">
        <v>185</v>
      </c>
      <c r="I92" s="9" t="s">
        <v>12</v>
      </c>
      <c r="J92" s="7">
        <v>23.5</v>
      </c>
      <c r="K92" s="7">
        <v>23</v>
      </c>
      <c r="L92" s="7">
        <v>30</v>
      </c>
      <c r="M92" s="7">
        <v>375</v>
      </c>
      <c r="N92" s="7">
        <f>[1]!Tabelle1325[[#This Row],[Anzahl Frames]]/[1]!Tabelle1325[[#This Row],[Aufnahmezeit '[s']]]</f>
        <v>12.508294625082947</v>
      </c>
      <c r="O92" s="6">
        <f>1/[1]!Tabelle1325[[#This Row],[Mean fps ]]</f>
        <v>7.9946949602122008E-2</v>
      </c>
      <c r="Q92" s="3"/>
      <c r="R92" s="11"/>
      <c r="S92" s="7">
        <v>1.92</v>
      </c>
      <c r="T92" s="7">
        <v>1.599</v>
      </c>
      <c r="U92" s="7">
        <v>2.089</v>
      </c>
      <c r="AC92" s="7" t="e">
        <f>Tabelle1321011121517[[#This Row],[SD 1]]/Tabelle1321011121517[[#This Row],[Mean Visc. 1 '[mPas']]]</f>
        <v>#DIV/0!</v>
      </c>
      <c r="AD92" s="7" t="e">
        <f>[1]!Tabelle1325[[#This Row],[SD 2]]/[1]!Tabelle1325[[#This Row],[Mean Visc. 2 '[mPas']2]]</f>
        <v>#DIV/0!</v>
      </c>
      <c r="AE92" s="7" t="e">
        <f>[1]!Tabelle1325[[#This Row],[SD 3]]/[1]!Tabelle1325[[#This Row],[Mean Visc. 3 '[mPas']3]]</f>
        <v>#DIV/0!</v>
      </c>
    </row>
    <row r="93" spans="1:31" s="7" customFormat="1" x14ac:dyDescent="0.3">
      <c r="A93">
        <v>92</v>
      </c>
      <c r="B93" s="4"/>
      <c r="C93" s="5"/>
      <c r="D93" s="7">
        <v>5</v>
      </c>
      <c r="E93" t="s">
        <v>171</v>
      </c>
      <c r="F93" t="s">
        <v>168</v>
      </c>
      <c r="G93" s="23"/>
      <c r="H93" s="12" t="s">
        <v>185</v>
      </c>
      <c r="I93" s="9" t="s">
        <v>12</v>
      </c>
      <c r="J93" s="7">
        <v>23.5</v>
      </c>
      <c r="K93" s="7">
        <v>23</v>
      </c>
      <c r="L93" s="7">
        <v>30.24</v>
      </c>
      <c r="M93" s="7">
        <v>378</v>
      </c>
      <c r="N93" s="7">
        <f>[1]!Tabelle1325[[#This Row],[Anzahl Frames]]/[1]!Tabelle1325[[#This Row],[Aufnahmezeit '[s']]]</f>
        <v>12.5</v>
      </c>
      <c r="O93" s="6">
        <f>1/[1]!Tabelle1325[[#This Row],[Mean fps ]]</f>
        <v>0.08</v>
      </c>
      <c r="Q93" s="3"/>
      <c r="R93" s="11"/>
      <c r="S93" s="7">
        <v>1.647</v>
      </c>
      <c r="T93" s="7">
        <v>1.42</v>
      </c>
      <c r="U93" s="7">
        <v>2.1989999999999998</v>
      </c>
      <c r="AC93" s="7" t="e">
        <f>Tabelle1321011121517[[#This Row],[SD 1]]/Tabelle1321011121517[[#This Row],[Mean Visc. 1 '[mPas']]]</f>
        <v>#DIV/0!</v>
      </c>
      <c r="AD93" s="7" t="e">
        <f>[1]!Tabelle1325[[#This Row],[SD 2]]/[1]!Tabelle1325[[#This Row],[Mean Visc. 2 '[mPas']2]]</f>
        <v>#DIV/0!</v>
      </c>
      <c r="AE93" s="7" t="e">
        <f>[1]!Tabelle1325[[#This Row],[SD 3]]/[1]!Tabelle1325[[#This Row],[Mean Visc. 3 '[mPas']3]]</f>
        <v>#DIV/0!</v>
      </c>
    </row>
    <row r="94" spans="1:31" s="7" customFormat="1" x14ac:dyDescent="0.3">
      <c r="A94">
        <v>93</v>
      </c>
      <c r="B94" s="4"/>
      <c r="C94" s="5"/>
      <c r="D94" s="7">
        <v>5</v>
      </c>
      <c r="E94" t="s">
        <v>171</v>
      </c>
      <c r="F94" t="s">
        <v>168</v>
      </c>
      <c r="G94" s="23"/>
      <c r="H94" s="12" t="s">
        <v>185</v>
      </c>
      <c r="I94" s="9" t="s">
        <v>12</v>
      </c>
      <c r="J94" s="7">
        <v>23.6</v>
      </c>
      <c r="K94" s="7">
        <v>23</v>
      </c>
      <c r="L94" s="7">
        <v>31.52</v>
      </c>
      <c r="M94" s="7">
        <v>394</v>
      </c>
      <c r="N94" s="7">
        <f>[1]!Tabelle1325[[#This Row],[Anzahl Frames]]/[1]!Tabelle1325[[#This Row],[Aufnahmezeit '[s']]]</f>
        <v>12.533512064343164</v>
      </c>
      <c r="O94" s="6">
        <f>1/[1]!Tabelle1325[[#This Row],[Mean fps ]]</f>
        <v>7.9786096256684494E-2</v>
      </c>
      <c r="Q94" s="3"/>
      <c r="R94" s="11"/>
      <c r="S94" s="7">
        <v>1.498</v>
      </c>
      <c r="T94" s="7">
        <v>1.389</v>
      </c>
      <c r="U94" s="7">
        <v>1.857</v>
      </c>
      <c r="AC94" s="7" t="e">
        <f>Tabelle1321011121517[[#This Row],[SD 1]]/Tabelle1321011121517[[#This Row],[Mean Visc. 1 '[mPas']]]</f>
        <v>#DIV/0!</v>
      </c>
      <c r="AD94" s="7" t="e">
        <f>[1]!Tabelle1325[[#This Row],[SD 2]]/[1]!Tabelle1325[[#This Row],[Mean Visc. 2 '[mPas']2]]</f>
        <v>#DIV/0!</v>
      </c>
      <c r="AE94" s="7" t="e">
        <f>[1]!Tabelle1325[[#This Row],[SD 3]]/[1]!Tabelle1325[[#This Row],[Mean Visc. 3 '[mPas']3]]</f>
        <v>#DIV/0!</v>
      </c>
    </row>
    <row r="95" spans="1:31" s="7" customFormat="1" x14ac:dyDescent="0.3">
      <c r="A95">
        <v>94</v>
      </c>
      <c r="B95" s="4"/>
      <c r="C95" s="5"/>
      <c r="D95" s="7">
        <v>5</v>
      </c>
      <c r="E95" t="s">
        <v>171</v>
      </c>
      <c r="F95" t="s">
        <v>168</v>
      </c>
      <c r="G95" s="23"/>
      <c r="H95" s="12" t="s">
        <v>185</v>
      </c>
      <c r="I95" s="9" t="s">
        <v>12</v>
      </c>
      <c r="J95" s="7">
        <v>23.7</v>
      </c>
      <c r="K95" s="7">
        <v>23</v>
      </c>
      <c r="L95" s="7">
        <v>31.94</v>
      </c>
      <c r="M95" s="7">
        <v>399</v>
      </c>
      <c r="N95" s="7">
        <f>[1]!Tabelle1325[[#This Row],[Anzahl Frames]]/[1]!Tabelle1325[[#This Row],[Aufnahmezeit '[s']]]</f>
        <v>12.5</v>
      </c>
      <c r="O95" s="6">
        <f>1/[1]!Tabelle1325[[#This Row],[Mean fps ]]</f>
        <v>0.08</v>
      </c>
      <c r="Q95" s="3"/>
      <c r="R95" s="11"/>
      <c r="S95" s="7">
        <v>1.7390000000000001</v>
      </c>
      <c r="T95" s="7">
        <v>1.381</v>
      </c>
      <c r="U95" s="7">
        <v>2.0339999999999998</v>
      </c>
      <c r="AC95" s="7" t="e">
        <f>Tabelle1321011121517[[#This Row],[SD 1]]/Tabelle1321011121517[[#This Row],[Mean Visc. 1 '[mPas']]]</f>
        <v>#DIV/0!</v>
      </c>
      <c r="AD95" s="7" t="e">
        <f>[1]!Tabelle1325[[#This Row],[SD 2]]/[1]!Tabelle1325[[#This Row],[Mean Visc. 2 '[mPas']2]]</f>
        <v>#DIV/0!</v>
      </c>
      <c r="AE95" s="7" t="e">
        <f>[1]!Tabelle1325[[#This Row],[SD 3]]/[1]!Tabelle1325[[#This Row],[Mean Visc. 3 '[mPas']3]]</f>
        <v>#DIV/0!</v>
      </c>
    </row>
    <row r="96" spans="1:31" s="17" customFormat="1" ht="15" thickBot="1" x14ac:dyDescent="0.35">
      <c r="A96">
        <v>95</v>
      </c>
      <c r="B96" s="15"/>
      <c r="C96" s="16"/>
      <c r="D96" s="17">
        <v>5</v>
      </c>
      <c r="E96" t="s">
        <v>171</v>
      </c>
      <c r="F96" t="s">
        <v>168</v>
      </c>
      <c r="G96" s="24"/>
      <c r="H96" s="12" t="s">
        <v>185</v>
      </c>
      <c r="I96" s="9" t="s">
        <v>12</v>
      </c>
      <c r="J96" s="17">
        <v>23.7</v>
      </c>
      <c r="K96" s="17">
        <v>23</v>
      </c>
      <c r="L96" s="17">
        <v>31.36</v>
      </c>
      <c r="M96" s="17">
        <v>393</v>
      </c>
      <c r="N96" s="17">
        <f>[1]!Tabelle1325[[#This Row],[Anzahl Frames]]/[1]!Tabelle1325[[#This Row],[Aufnahmezeit '[s']]]</f>
        <v>12.5</v>
      </c>
      <c r="O96" s="25">
        <f>1/[1]!Tabelle1325[[#This Row],[Mean fps ]]</f>
        <v>0.08</v>
      </c>
      <c r="Q96" s="20"/>
      <c r="R96" s="21"/>
      <c r="S96" s="17">
        <v>1.734</v>
      </c>
      <c r="T96" s="17">
        <v>1.401</v>
      </c>
      <c r="U96" s="17">
        <v>1.9650000000000001</v>
      </c>
      <c r="AC96" s="17" t="e">
        <f>Tabelle1321011121517[[#This Row],[SD 1]]/Tabelle1321011121517[[#This Row],[Mean Visc. 1 '[mPas']]]</f>
        <v>#DIV/0!</v>
      </c>
      <c r="AD96" s="17" t="e">
        <f>[1]!Tabelle1325[[#This Row],[SD 2]]/[1]!Tabelle1325[[#This Row],[Mean Visc. 2 '[mPas']2]]</f>
        <v>#DIV/0!</v>
      </c>
      <c r="AE96" s="17" t="e">
        <f>[1]!Tabelle1325[[#This Row],[SD 3]]/[1]!Tabelle1325[[#This Row],[Mean Visc. 3 '[mPas']3]]</f>
        <v>#DIV/0!</v>
      </c>
    </row>
    <row r="97" spans="1:31" s="7" customFormat="1" ht="15" thickTop="1" x14ac:dyDescent="0.3">
      <c r="A97">
        <v>96</v>
      </c>
      <c r="B97" s="4"/>
      <c r="C97" s="5"/>
      <c r="D97" s="7">
        <v>5</v>
      </c>
      <c r="E97" t="s">
        <v>171</v>
      </c>
      <c r="F97" t="s">
        <v>168</v>
      </c>
      <c r="G97" s="23"/>
      <c r="H97" s="12" t="s">
        <v>185</v>
      </c>
      <c r="I97" s="9" t="s">
        <v>12</v>
      </c>
      <c r="J97" s="7">
        <v>23.8</v>
      </c>
      <c r="K97" s="7">
        <v>23</v>
      </c>
      <c r="L97" s="7">
        <v>30.24</v>
      </c>
      <c r="M97" s="7">
        <v>379</v>
      </c>
      <c r="N97" s="7">
        <f>[1]!Tabelle1325[[#This Row],[Anzahl Frames]]/[1]!Tabelle1325[[#This Row],[Aufnahmezeit '[s']]]</f>
        <v>12.533068783068783</v>
      </c>
      <c r="O97" s="6">
        <f>1/[1]!Tabelle1325[[#This Row],[Mean fps ]]</f>
        <v>7.9788918205804749E-2</v>
      </c>
      <c r="Q97" s="3"/>
      <c r="R97" s="11"/>
      <c r="S97" s="7">
        <v>1.7230000000000001</v>
      </c>
      <c r="T97" s="7">
        <v>1.333</v>
      </c>
      <c r="U97" s="7">
        <v>2.0089999999999999</v>
      </c>
      <c r="AC97" s="7" t="e">
        <f>Tabelle1321011121517[[#This Row],[SD 1]]/Tabelle1321011121517[[#This Row],[Mean Visc. 1 '[mPas']]]</f>
        <v>#DIV/0!</v>
      </c>
      <c r="AD97" s="7" t="e">
        <f>[1]!Tabelle1325[[#This Row],[SD 2]]/[1]!Tabelle1325[[#This Row],[Mean Visc. 2 '[mPas']2]]</f>
        <v>#DIV/0!</v>
      </c>
      <c r="AE97" s="7" t="e">
        <f>[1]!Tabelle1325[[#This Row],[SD 3]]/[1]!Tabelle1325[[#This Row],[Mean Visc. 3 '[mPas']3]]</f>
        <v>#DIV/0!</v>
      </c>
    </row>
    <row r="98" spans="1:31" s="7" customFormat="1" x14ac:dyDescent="0.3">
      <c r="A98">
        <v>97</v>
      </c>
      <c r="B98" s="4"/>
      <c r="C98" s="5"/>
      <c r="D98" s="7">
        <v>5</v>
      </c>
      <c r="E98" t="s">
        <v>171</v>
      </c>
      <c r="F98" t="s">
        <v>168</v>
      </c>
      <c r="G98" s="23"/>
      <c r="H98" s="12" t="s">
        <v>185</v>
      </c>
      <c r="I98" s="9" t="s">
        <v>12</v>
      </c>
      <c r="J98" s="7">
        <v>23.9</v>
      </c>
      <c r="K98" s="7">
        <v>23</v>
      </c>
      <c r="L98" s="7">
        <v>30.64</v>
      </c>
      <c r="M98" s="7">
        <v>383</v>
      </c>
      <c r="N98" s="7">
        <f>[1]!Tabelle1325[[#This Row],[Anzahl Frames]]/[1]!Tabelle1325[[#This Row],[Aufnahmezeit '[s']]]</f>
        <v>12.5</v>
      </c>
      <c r="O98" s="6">
        <f>1/[1]!Tabelle1325[[#This Row],[Mean fps ]]</f>
        <v>0.08</v>
      </c>
      <c r="Q98" s="3"/>
      <c r="R98" s="11"/>
      <c r="S98" s="7">
        <v>1.708</v>
      </c>
      <c r="T98" s="7">
        <v>1.498</v>
      </c>
      <c r="U98" s="7">
        <v>2.085</v>
      </c>
      <c r="AC98" s="7" t="e">
        <f>Tabelle1321011121517[[#This Row],[SD 1]]/Tabelle1321011121517[[#This Row],[Mean Visc. 1 '[mPas']]]</f>
        <v>#DIV/0!</v>
      </c>
      <c r="AD98" s="7" t="e">
        <f>[1]!Tabelle1325[[#This Row],[SD 2]]/[1]!Tabelle1325[[#This Row],[Mean Visc. 2 '[mPas']2]]</f>
        <v>#DIV/0!</v>
      </c>
      <c r="AE98" s="7" t="e">
        <f>[1]!Tabelle1325[[#This Row],[SD 3]]/[1]!Tabelle1325[[#This Row],[Mean Visc. 3 '[mPas']3]]</f>
        <v>#DIV/0!</v>
      </c>
    </row>
    <row r="99" spans="1:31" s="7" customFormat="1" x14ac:dyDescent="0.3">
      <c r="A99">
        <v>98</v>
      </c>
      <c r="B99" s="4"/>
      <c r="C99" s="5"/>
      <c r="D99" s="7">
        <v>5</v>
      </c>
      <c r="E99" t="s">
        <v>171</v>
      </c>
      <c r="F99" t="s">
        <v>168</v>
      </c>
      <c r="G99" s="23"/>
      <c r="H99" s="12" t="s">
        <v>185</v>
      </c>
      <c r="I99" s="9" t="s">
        <v>12</v>
      </c>
      <c r="J99" s="7">
        <v>24</v>
      </c>
      <c r="K99" s="7">
        <v>23</v>
      </c>
      <c r="L99" s="7">
        <v>30.08</v>
      </c>
      <c r="M99" s="7">
        <v>377</v>
      </c>
      <c r="N99" s="7">
        <f>[1]!Tabelle1325[[#This Row],[Anzahl Frames]]/[1]!Tabelle1325[[#This Row],[Aufnahmezeit '[s']]]</f>
        <v>12.500000000000002</v>
      </c>
      <c r="O99" s="6">
        <f>1/[1]!Tabelle1325[[#This Row],[Mean fps ]]</f>
        <v>7.9999999999999988E-2</v>
      </c>
      <c r="Q99" s="3"/>
      <c r="R99" s="11"/>
      <c r="S99" s="7">
        <v>1.569</v>
      </c>
      <c r="T99" s="7">
        <v>1.4159999999999999</v>
      </c>
      <c r="U99" s="7">
        <v>1.869</v>
      </c>
      <c r="AC99" s="7" t="e">
        <f>Tabelle1321011121517[[#This Row],[SD 1]]/Tabelle1321011121517[[#This Row],[Mean Visc. 1 '[mPas']]]</f>
        <v>#DIV/0!</v>
      </c>
      <c r="AD99" s="7" t="e">
        <f>[1]!Tabelle1325[[#This Row],[SD 2]]/[1]!Tabelle1325[[#This Row],[Mean Visc. 2 '[mPas']2]]</f>
        <v>#DIV/0!</v>
      </c>
      <c r="AE99" s="7" t="e">
        <f>[1]!Tabelle1325[[#This Row],[SD 3]]/[1]!Tabelle1325[[#This Row],[Mean Visc. 3 '[mPas']3]]</f>
        <v>#DIV/0!</v>
      </c>
    </row>
    <row r="100" spans="1:31" s="7" customFormat="1" x14ac:dyDescent="0.3">
      <c r="A100">
        <v>99</v>
      </c>
      <c r="B100" s="4"/>
      <c r="C100" s="5"/>
      <c r="D100" s="7">
        <v>5</v>
      </c>
      <c r="E100" t="s">
        <v>171</v>
      </c>
      <c r="F100" t="s">
        <v>168</v>
      </c>
      <c r="G100" s="23"/>
      <c r="H100" s="12" t="s">
        <v>185</v>
      </c>
      <c r="I100" s="9" t="s">
        <v>12</v>
      </c>
      <c r="J100" s="7">
        <v>24</v>
      </c>
      <c r="K100" s="7">
        <v>23</v>
      </c>
      <c r="L100" s="7">
        <v>32.159999999999997</v>
      </c>
      <c r="M100" s="7">
        <v>402</v>
      </c>
      <c r="N100" s="7">
        <f>[1]!Tabelle1325[[#This Row],[Anzahl Frames]]/[1]!Tabelle1325[[#This Row],[Aufnahmezeit '[s']]]</f>
        <v>12.504080966372838</v>
      </c>
      <c r="O100" s="6">
        <f>1/[1]!Tabelle1325[[#This Row],[Mean fps ]]</f>
        <v>7.9973890339425577E-2</v>
      </c>
      <c r="Q100" s="3"/>
      <c r="R100" s="11"/>
      <c r="S100" s="7">
        <v>1.6890000000000001</v>
      </c>
      <c r="T100" s="7">
        <v>1.5169999999999999</v>
      </c>
      <c r="U100" s="7">
        <v>1.8640000000000001</v>
      </c>
      <c r="AC100" s="7" t="e">
        <f>Tabelle1321011121517[[#This Row],[SD 1]]/Tabelle1321011121517[[#This Row],[Mean Visc. 1 '[mPas']]]</f>
        <v>#DIV/0!</v>
      </c>
      <c r="AD100" s="7" t="e">
        <f>[1]!Tabelle1325[[#This Row],[SD 2]]/[1]!Tabelle1325[[#This Row],[Mean Visc. 2 '[mPas']2]]</f>
        <v>#DIV/0!</v>
      </c>
      <c r="AE100" s="7" t="e">
        <f>[1]!Tabelle1325[[#This Row],[SD 3]]/[1]!Tabelle1325[[#This Row],[Mean Visc. 3 '[mPas']3]]</f>
        <v>#DIV/0!</v>
      </c>
    </row>
    <row r="101" spans="1:31" s="17" customFormat="1" ht="15" thickBot="1" x14ac:dyDescent="0.35">
      <c r="A101">
        <v>100</v>
      </c>
      <c r="B101" s="15"/>
      <c r="C101" s="16"/>
      <c r="D101" s="17">
        <v>5</v>
      </c>
      <c r="E101" t="s">
        <v>171</v>
      </c>
      <c r="F101" t="s">
        <v>168</v>
      </c>
      <c r="G101" s="24"/>
      <c r="H101" s="12" t="s">
        <v>185</v>
      </c>
      <c r="I101" s="9" t="s">
        <v>12</v>
      </c>
      <c r="J101" s="17">
        <v>24</v>
      </c>
      <c r="K101" s="17">
        <v>23</v>
      </c>
      <c r="L101" s="17">
        <v>30.64</v>
      </c>
      <c r="M101" s="17">
        <v>384</v>
      </c>
      <c r="N101" s="17">
        <f>[1]!Tabelle1325[[#This Row],[Anzahl Frames]]/[1]!Tabelle1325[[#This Row],[Aufnahmezeit '[s']]]</f>
        <v>12.5</v>
      </c>
      <c r="O101" s="25">
        <f>1/[1]!Tabelle1325[[#This Row],[Mean fps ]]</f>
        <v>0.08</v>
      </c>
      <c r="Q101" s="20"/>
      <c r="R101" s="21"/>
      <c r="S101" s="17">
        <v>1.77</v>
      </c>
      <c r="T101" s="17">
        <v>1.5629999999999999</v>
      </c>
      <c r="U101" s="17">
        <v>2.0470000000000002</v>
      </c>
      <c r="W101" s="7">
        <f>SUM(S92:S101)/10</f>
        <v>1.6997</v>
      </c>
      <c r="X101" s="7">
        <f t="shared" ref="X101" si="18">SUM(T92:T101)/10</f>
        <v>1.4517</v>
      </c>
      <c r="Y101" s="7">
        <f t="shared" ref="Y101" si="19">SUM(U92:U101)/10</f>
        <v>2.0018000000000002</v>
      </c>
      <c r="Z101" s="17">
        <f>_xlfn.STDEV.S(S92:S101)</f>
        <v>0.11424345349588599</v>
      </c>
      <c r="AA101" s="17">
        <f>_xlfn.STDEV.S(T92:T101)</f>
        <v>8.7153823145567674E-2</v>
      </c>
      <c r="AB101" s="17">
        <f>_xlfn.STDEV.S(U92:U101)</f>
        <v>0.11328018361567034</v>
      </c>
      <c r="AC101" s="17">
        <f>Tabelle1321011121517[[#This Row],[SD 1]]/Tabelle1321011121517[[#This Row],[Mean Visc. 1 '[mPas']]]</f>
        <v>6.7213892743358233E-2</v>
      </c>
      <c r="AD101" s="17">
        <f>Tabelle1321011121517[[#This Row],[SD 2]]/Tabelle1321011121517[[#This Row],[Mean Visc. 2 '[mPas']2]]</f>
        <v>6.0035698247274005E-2</v>
      </c>
      <c r="AE101" s="17">
        <f>Tabelle1321011121517[[#This Row],[SD 3]]/Tabelle1321011121517[[#This Row],[Mean Visc. 3 '[mPas']3]]</f>
        <v>5.6589161562428977E-2</v>
      </c>
    </row>
    <row r="102" spans="1:31" s="7" customFormat="1" ht="15" thickTop="1" x14ac:dyDescent="0.3">
      <c r="A102">
        <v>101</v>
      </c>
      <c r="B102" s="4"/>
      <c r="C102" s="5"/>
      <c r="D102" s="7">
        <v>6</v>
      </c>
      <c r="E102" t="s">
        <v>182</v>
      </c>
      <c r="F102" t="s">
        <v>184</v>
      </c>
      <c r="G102" s="23"/>
      <c r="H102" s="12" t="s">
        <v>160</v>
      </c>
      <c r="I102" s="9" t="s">
        <v>12</v>
      </c>
      <c r="J102" s="7">
        <v>23.6</v>
      </c>
      <c r="K102" s="7">
        <v>22</v>
      </c>
      <c r="L102" s="7">
        <v>29.06</v>
      </c>
      <c r="M102" s="7">
        <v>367</v>
      </c>
      <c r="N102" s="7" t="e">
        <f>[1]!Tabelle1325[[#This Row],[Anzahl Frames]]/[1]!Tabelle1325[[#This Row],[Aufnahmezeit '[s']]]</f>
        <v>#DIV/0!</v>
      </c>
      <c r="O102" s="6" t="e">
        <f>1/[1]!Tabelle1325[[#This Row],[Mean fps ]]</f>
        <v>#DIV/0!</v>
      </c>
      <c r="Q102" s="3"/>
      <c r="R102" s="11"/>
      <c r="S102" s="7">
        <v>1.4830000000000001</v>
      </c>
      <c r="T102" s="7">
        <v>1.2949999999999999</v>
      </c>
      <c r="U102" s="7">
        <v>1.871</v>
      </c>
      <c r="AC102" s="7" t="e">
        <f>Tabelle1321011121517[[#This Row],[SD 1]]/Tabelle1321011121517[[#This Row],[Mean Visc. 1 '[mPas']]]</f>
        <v>#DIV/0!</v>
      </c>
      <c r="AD102" s="7" t="e">
        <f>[1]!Tabelle1325[[#This Row],[SD 2]]/[1]!Tabelle1325[[#This Row],[Mean Visc. 2 '[mPas']2]]</f>
        <v>#DIV/0!</v>
      </c>
      <c r="AE102" s="7" t="e">
        <f>[1]!Tabelle1325[[#This Row],[SD 3]]/[1]!Tabelle1325[[#This Row],[Mean Visc. 3 '[mPas']3]]</f>
        <v>#DIV/0!</v>
      </c>
    </row>
    <row r="103" spans="1:31" s="7" customFormat="1" x14ac:dyDescent="0.3">
      <c r="A103">
        <v>102</v>
      </c>
      <c r="B103" s="4"/>
      <c r="C103" s="5"/>
      <c r="D103" s="7">
        <v>6</v>
      </c>
      <c r="E103" t="s">
        <v>182</v>
      </c>
      <c r="F103" t="s">
        <v>184</v>
      </c>
      <c r="G103" s="23"/>
      <c r="H103" s="12" t="s">
        <v>160</v>
      </c>
      <c r="I103" s="9" t="s">
        <v>12</v>
      </c>
      <c r="J103" s="7">
        <v>23.3</v>
      </c>
      <c r="K103" s="7">
        <v>23</v>
      </c>
      <c r="L103" s="7">
        <v>30.48</v>
      </c>
      <c r="M103" s="7">
        <v>381</v>
      </c>
      <c r="N103" s="7" t="e">
        <f>[1]!Tabelle1325[[#This Row],[Anzahl Frames]]/[1]!Tabelle1325[[#This Row],[Aufnahmezeit '[s']]]</f>
        <v>#DIV/0!</v>
      </c>
      <c r="O103" s="6" t="e">
        <f>1/[1]!Tabelle1325[[#This Row],[Mean fps ]]</f>
        <v>#DIV/0!</v>
      </c>
      <c r="Q103" s="3"/>
      <c r="R103" s="11"/>
      <c r="S103" s="7">
        <v>1.484</v>
      </c>
      <c r="T103" s="7">
        <v>1.216</v>
      </c>
      <c r="U103" s="7">
        <v>1.8169999999999999</v>
      </c>
      <c r="AC103" s="7" t="e">
        <f>Tabelle1321011121517[[#This Row],[SD 1]]/Tabelle1321011121517[[#This Row],[Mean Visc. 1 '[mPas']]]</f>
        <v>#DIV/0!</v>
      </c>
      <c r="AD103" s="7" t="e">
        <f>[1]!Tabelle1325[[#This Row],[SD 2]]/[1]!Tabelle1325[[#This Row],[Mean Visc. 2 '[mPas']2]]</f>
        <v>#DIV/0!</v>
      </c>
      <c r="AE103" s="7" t="e">
        <f>[1]!Tabelle1325[[#This Row],[SD 3]]/[1]!Tabelle1325[[#This Row],[Mean Visc. 3 '[mPas']3]]</f>
        <v>#DIV/0!</v>
      </c>
    </row>
    <row r="104" spans="1:31" s="7" customFormat="1" x14ac:dyDescent="0.3">
      <c r="A104">
        <v>103</v>
      </c>
      <c r="B104" s="4"/>
      <c r="C104" s="5"/>
      <c r="D104" s="7">
        <v>6</v>
      </c>
      <c r="E104" t="s">
        <v>182</v>
      </c>
      <c r="F104" t="s">
        <v>184</v>
      </c>
      <c r="G104" s="23"/>
      <c r="H104" s="12" t="s">
        <v>160</v>
      </c>
      <c r="I104" s="9" t="s">
        <v>12</v>
      </c>
      <c r="J104" s="7">
        <v>23.3</v>
      </c>
      <c r="K104" s="7">
        <v>23</v>
      </c>
      <c r="L104" s="7">
        <v>31.36</v>
      </c>
      <c r="M104" s="7">
        <v>393</v>
      </c>
      <c r="N104" s="7" t="e">
        <f>[1]!Tabelle1325[[#This Row],[Anzahl Frames]]/[1]!Tabelle1325[[#This Row],[Aufnahmezeit '[s']]]</f>
        <v>#DIV/0!</v>
      </c>
      <c r="O104" s="6" t="e">
        <f>1/[1]!Tabelle1325[[#This Row],[Mean fps ]]</f>
        <v>#DIV/0!</v>
      </c>
      <c r="Q104" s="3"/>
      <c r="R104" s="11"/>
      <c r="S104" s="7">
        <v>1.4670000000000001</v>
      </c>
      <c r="T104" s="7">
        <v>1.194</v>
      </c>
      <c r="U104" s="7">
        <v>1.891</v>
      </c>
      <c r="AC104" s="7" t="e">
        <f>Tabelle1321011121517[[#This Row],[SD 1]]/Tabelle1321011121517[[#This Row],[Mean Visc. 1 '[mPas']]]</f>
        <v>#DIV/0!</v>
      </c>
      <c r="AD104" s="7" t="e">
        <f>[1]!Tabelle1325[[#This Row],[SD 2]]/[1]!Tabelle1325[[#This Row],[Mean Visc. 2 '[mPas']2]]</f>
        <v>#DIV/0!</v>
      </c>
      <c r="AE104" s="7" t="e">
        <f>[1]!Tabelle1325[[#This Row],[SD 3]]/[1]!Tabelle1325[[#This Row],[Mean Visc. 3 '[mPas']3]]</f>
        <v>#DIV/0!</v>
      </c>
    </row>
    <row r="105" spans="1:31" s="7" customFormat="1" x14ac:dyDescent="0.3">
      <c r="A105">
        <v>104</v>
      </c>
      <c r="B105" s="4"/>
      <c r="C105" s="5"/>
      <c r="D105" s="7">
        <v>6</v>
      </c>
      <c r="E105" t="s">
        <v>182</v>
      </c>
      <c r="F105" t="s">
        <v>184</v>
      </c>
      <c r="G105" s="23"/>
      <c r="H105" s="12" t="s">
        <v>160</v>
      </c>
      <c r="I105" s="9" t="s">
        <v>12</v>
      </c>
      <c r="J105" s="7">
        <v>23.3</v>
      </c>
      <c r="K105" s="7">
        <v>23</v>
      </c>
      <c r="L105" s="7">
        <v>31.44</v>
      </c>
      <c r="M105" s="7">
        <v>393</v>
      </c>
      <c r="N105" s="7" t="e">
        <f>[1]!Tabelle1325[[#This Row],[Anzahl Frames]]/[1]!Tabelle1325[[#This Row],[Aufnahmezeit '[s']]]</f>
        <v>#DIV/0!</v>
      </c>
      <c r="O105" s="6" t="e">
        <f>1/[1]!Tabelle1325[[#This Row],[Mean fps ]]</f>
        <v>#DIV/0!</v>
      </c>
      <c r="Q105" s="3"/>
      <c r="R105" s="11"/>
      <c r="S105" s="7">
        <v>1.4279999999999999</v>
      </c>
      <c r="T105" s="7">
        <v>1.266</v>
      </c>
      <c r="U105" s="7">
        <v>1.8280000000000001</v>
      </c>
      <c r="AC105" s="7" t="e">
        <f>Tabelle1321011121517[[#This Row],[SD 1]]/Tabelle1321011121517[[#This Row],[Mean Visc. 1 '[mPas']]]</f>
        <v>#DIV/0!</v>
      </c>
      <c r="AD105" s="7" t="e">
        <f>[1]!Tabelle1325[[#This Row],[SD 2]]/[1]!Tabelle1325[[#This Row],[Mean Visc. 2 '[mPas']2]]</f>
        <v>#DIV/0!</v>
      </c>
      <c r="AE105" s="7" t="e">
        <f>[1]!Tabelle1325[[#This Row],[SD 3]]/[1]!Tabelle1325[[#This Row],[Mean Visc. 3 '[mPas']3]]</f>
        <v>#DIV/0!</v>
      </c>
    </row>
    <row r="106" spans="1:31" s="17" customFormat="1" ht="15" thickBot="1" x14ac:dyDescent="0.35">
      <c r="A106">
        <v>105</v>
      </c>
      <c r="B106" s="15"/>
      <c r="C106" s="16"/>
      <c r="D106" s="7">
        <v>6</v>
      </c>
      <c r="E106" t="s">
        <v>182</v>
      </c>
      <c r="F106" t="s">
        <v>184</v>
      </c>
      <c r="G106" s="23"/>
      <c r="H106" s="12" t="s">
        <v>160</v>
      </c>
      <c r="I106" s="9" t="s">
        <v>12</v>
      </c>
      <c r="J106" s="17">
        <v>23.3</v>
      </c>
      <c r="K106" s="17">
        <v>23</v>
      </c>
      <c r="L106" s="17">
        <v>30.72</v>
      </c>
      <c r="M106" s="17">
        <v>384</v>
      </c>
      <c r="N106" s="17" t="e">
        <f>[1]!Tabelle1325[[#This Row],[Anzahl Frames]]/[1]!Tabelle1325[[#This Row],[Aufnahmezeit '[s']]]</f>
        <v>#DIV/0!</v>
      </c>
      <c r="O106" s="25" t="e">
        <f>1/[1]!Tabelle1325[[#This Row],[Mean fps ]]</f>
        <v>#DIV/0!</v>
      </c>
      <c r="Q106" s="20"/>
      <c r="R106" s="21"/>
      <c r="S106" s="17">
        <v>1.3560000000000001</v>
      </c>
      <c r="T106" s="17">
        <v>1.2</v>
      </c>
      <c r="U106" s="17">
        <v>1.893</v>
      </c>
      <c r="AC106" s="17" t="e">
        <f>Tabelle1321011121517[[#This Row],[SD 1]]/Tabelle1321011121517[[#This Row],[Mean Visc. 1 '[mPas']]]</f>
        <v>#DIV/0!</v>
      </c>
      <c r="AD106" s="17" t="e">
        <f>[1]!Tabelle1325[[#This Row],[SD 2]]/[1]!Tabelle1325[[#This Row],[Mean Visc. 2 '[mPas']2]]</f>
        <v>#DIV/0!</v>
      </c>
      <c r="AE106" s="17" t="e">
        <f>[1]!Tabelle1325[[#This Row],[SD 3]]/[1]!Tabelle1325[[#This Row],[Mean Visc. 3 '[mPas']3]]</f>
        <v>#DIV/0!</v>
      </c>
    </row>
    <row r="107" spans="1:31" s="7" customFormat="1" ht="15" thickTop="1" x14ac:dyDescent="0.3">
      <c r="A107">
        <v>106</v>
      </c>
      <c r="B107" s="4"/>
      <c r="C107" s="5"/>
      <c r="D107" s="7">
        <v>6</v>
      </c>
      <c r="E107" t="s">
        <v>182</v>
      </c>
      <c r="F107" t="s">
        <v>184</v>
      </c>
      <c r="G107" s="23"/>
      <c r="H107" s="12" t="s">
        <v>160</v>
      </c>
      <c r="I107" s="9" t="s">
        <v>12</v>
      </c>
      <c r="J107" s="7">
        <v>23.4</v>
      </c>
      <c r="K107" s="7">
        <v>23</v>
      </c>
      <c r="L107" s="7">
        <v>30.64</v>
      </c>
      <c r="M107" s="7">
        <v>383</v>
      </c>
      <c r="N107" s="7" t="e">
        <f>[1]!Tabelle1325[[#This Row],[Anzahl Frames]]/[1]!Tabelle1325[[#This Row],[Aufnahmezeit '[s']]]</f>
        <v>#DIV/0!</v>
      </c>
      <c r="O107" s="6" t="e">
        <f>1/[1]!Tabelle1325[[#This Row],[Mean fps ]]</f>
        <v>#DIV/0!</v>
      </c>
      <c r="Q107" s="3"/>
      <c r="R107" s="11"/>
      <c r="S107" s="7">
        <v>1.3140000000000001</v>
      </c>
      <c r="T107" s="7">
        <v>1.1060000000000001</v>
      </c>
      <c r="U107" s="7">
        <v>1.958</v>
      </c>
      <c r="AC107" s="7" t="e">
        <f>Tabelle1321011121517[[#This Row],[SD 1]]/Tabelle1321011121517[[#This Row],[Mean Visc. 1 '[mPas']]]</f>
        <v>#DIV/0!</v>
      </c>
      <c r="AD107" s="7" t="e">
        <f>[1]!Tabelle1325[[#This Row],[SD 2]]/[1]!Tabelle1325[[#This Row],[Mean Visc. 2 '[mPas']2]]</f>
        <v>#DIV/0!</v>
      </c>
      <c r="AE107" s="7" t="e">
        <f>[1]!Tabelle1325[[#This Row],[SD 3]]/[1]!Tabelle1325[[#This Row],[Mean Visc. 3 '[mPas']3]]</f>
        <v>#DIV/0!</v>
      </c>
    </row>
    <row r="108" spans="1:31" s="7" customFormat="1" x14ac:dyDescent="0.3">
      <c r="A108">
        <v>107</v>
      </c>
      <c r="B108" s="4"/>
      <c r="C108" s="5"/>
      <c r="D108" s="7">
        <v>6</v>
      </c>
      <c r="E108" t="s">
        <v>182</v>
      </c>
      <c r="F108" t="s">
        <v>184</v>
      </c>
      <c r="G108" s="23"/>
      <c r="H108" s="12" t="s">
        <v>160</v>
      </c>
      <c r="I108" s="9" t="s">
        <v>12</v>
      </c>
      <c r="J108" s="7">
        <v>23.5</v>
      </c>
      <c r="K108" s="7">
        <v>23</v>
      </c>
      <c r="L108" s="7">
        <v>30.4</v>
      </c>
      <c r="M108" s="7">
        <v>380</v>
      </c>
      <c r="N108" s="7" t="e">
        <f>[1]!Tabelle1325[[#This Row],[Anzahl Frames]]/[1]!Tabelle1325[[#This Row],[Aufnahmezeit '[s']]]</f>
        <v>#DIV/0!</v>
      </c>
      <c r="O108" s="6" t="e">
        <f>1/[1]!Tabelle1325[[#This Row],[Mean fps ]]</f>
        <v>#DIV/0!</v>
      </c>
      <c r="Q108" s="3"/>
      <c r="R108" s="11"/>
      <c r="S108" s="7">
        <v>1.4239999999999999</v>
      </c>
      <c r="T108" s="7">
        <v>1.2330000000000001</v>
      </c>
      <c r="U108" s="7">
        <v>1.897</v>
      </c>
      <c r="AC108" s="7" t="e">
        <f>Tabelle1321011121517[[#This Row],[SD 1]]/Tabelle1321011121517[[#This Row],[Mean Visc. 1 '[mPas']]]</f>
        <v>#DIV/0!</v>
      </c>
      <c r="AD108" s="7" t="e">
        <f>[1]!Tabelle1325[[#This Row],[SD 2]]/[1]!Tabelle1325[[#This Row],[Mean Visc. 2 '[mPas']2]]</f>
        <v>#DIV/0!</v>
      </c>
      <c r="AE108" s="7" t="e">
        <f>[1]!Tabelle1325[[#This Row],[SD 3]]/[1]!Tabelle1325[[#This Row],[Mean Visc. 3 '[mPas']3]]</f>
        <v>#DIV/0!</v>
      </c>
    </row>
    <row r="109" spans="1:31" s="7" customFormat="1" x14ac:dyDescent="0.3">
      <c r="A109">
        <v>108</v>
      </c>
      <c r="B109" s="4"/>
      <c r="C109" s="5"/>
      <c r="D109" s="7">
        <v>6</v>
      </c>
      <c r="E109" t="s">
        <v>182</v>
      </c>
      <c r="F109" t="s">
        <v>184</v>
      </c>
      <c r="G109" s="23"/>
      <c r="H109" s="12" t="s">
        <v>160</v>
      </c>
      <c r="I109" s="9" t="s">
        <v>12</v>
      </c>
      <c r="J109" s="7">
        <v>23.5</v>
      </c>
      <c r="K109" s="7">
        <v>23</v>
      </c>
      <c r="L109" s="7">
        <v>30.56</v>
      </c>
      <c r="M109" s="7">
        <v>382</v>
      </c>
      <c r="N109" s="7" t="e">
        <f>[1]!Tabelle1325[[#This Row],[Anzahl Frames]]/[1]!Tabelle1325[[#This Row],[Aufnahmezeit '[s']]]</f>
        <v>#DIV/0!</v>
      </c>
      <c r="O109" s="6" t="e">
        <f>1/[1]!Tabelle1325[[#This Row],[Mean fps ]]</f>
        <v>#DIV/0!</v>
      </c>
      <c r="Q109" s="3"/>
      <c r="R109" s="11"/>
      <c r="S109" s="7">
        <v>1.3320000000000001</v>
      </c>
      <c r="T109" s="7">
        <v>1.1639999999999999</v>
      </c>
      <c r="U109" s="7">
        <v>1.8859999999999999</v>
      </c>
      <c r="AC109" s="7" t="e">
        <f>Tabelle1321011121517[[#This Row],[SD 1]]/Tabelle1321011121517[[#This Row],[Mean Visc. 1 '[mPas']]]</f>
        <v>#DIV/0!</v>
      </c>
      <c r="AD109" s="7" t="e">
        <f>[1]!Tabelle1325[[#This Row],[SD 2]]/[1]!Tabelle1325[[#This Row],[Mean Visc. 2 '[mPas']2]]</f>
        <v>#DIV/0!</v>
      </c>
      <c r="AE109" s="7" t="e">
        <f>[1]!Tabelle1325[[#This Row],[SD 3]]/[1]!Tabelle1325[[#This Row],[Mean Visc. 3 '[mPas']3]]</f>
        <v>#DIV/0!</v>
      </c>
    </row>
    <row r="110" spans="1:31" s="7" customFormat="1" x14ac:dyDescent="0.3">
      <c r="A110">
        <v>109</v>
      </c>
      <c r="B110" s="4"/>
      <c r="C110" s="5"/>
      <c r="D110" s="7">
        <v>6</v>
      </c>
      <c r="E110" t="s">
        <v>182</v>
      </c>
      <c r="F110" t="s">
        <v>184</v>
      </c>
      <c r="G110" s="23"/>
      <c r="H110" s="12" t="s">
        <v>160</v>
      </c>
      <c r="I110" s="9" t="s">
        <v>12</v>
      </c>
      <c r="J110" s="7">
        <v>23.6</v>
      </c>
      <c r="K110" s="7">
        <v>23</v>
      </c>
      <c r="L110" s="7">
        <v>30.48</v>
      </c>
      <c r="M110" s="7">
        <v>381</v>
      </c>
      <c r="N110" s="7" t="e">
        <f>[1]!Tabelle1325[[#This Row],[Anzahl Frames]]/[1]!Tabelle1325[[#This Row],[Aufnahmezeit '[s']]]</f>
        <v>#DIV/0!</v>
      </c>
      <c r="O110" s="6" t="e">
        <f>1/[1]!Tabelle1325[[#This Row],[Mean fps ]]</f>
        <v>#DIV/0!</v>
      </c>
      <c r="Q110" s="3"/>
      <c r="R110" s="11"/>
      <c r="S110" s="7">
        <v>1.508</v>
      </c>
      <c r="T110" s="7">
        <v>1.3919999999999999</v>
      </c>
      <c r="U110" s="7">
        <v>1.9239999999999999</v>
      </c>
      <c r="AC110" s="7" t="e">
        <f>Tabelle1321011121517[[#This Row],[SD 1]]/Tabelle1321011121517[[#This Row],[Mean Visc. 1 '[mPas']]]</f>
        <v>#DIV/0!</v>
      </c>
      <c r="AD110" s="7" t="e">
        <f>[1]!Tabelle1325[[#This Row],[SD 2]]/[1]!Tabelle1325[[#This Row],[Mean Visc. 2 '[mPas']2]]</f>
        <v>#DIV/0!</v>
      </c>
      <c r="AE110" s="7" t="e">
        <f>[1]!Tabelle1325[[#This Row],[SD 3]]/[1]!Tabelle1325[[#This Row],[Mean Visc. 3 '[mPas']3]]</f>
        <v>#DIV/0!</v>
      </c>
    </row>
    <row r="111" spans="1:31" s="17" customFormat="1" ht="15" thickBot="1" x14ac:dyDescent="0.35">
      <c r="A111">
        <v>110</v>
      </c>
      <c r="B111" s="15"/>
      <c r="C111" s="16"/>
      <c r="D111" s="7">
        <v>6</v>
      </c>
      <c r="E111" t="s">
        <v>182</v>
      </c>
      <c r="F111" t="s">
        <v>184</v>
      </c>
      <c r="G111" s="23"/>
      <c r="H111" s="12" t="s">
        <v>160</v>
      </c>
      <c r="I111" s="9" t="s">
        <v>12</v>
      </c>
      <c r="J111" s="17">
        <v>23.7</v>
      </c>
      <c r="K111" s="17">
        <v>23</v>
      </c>
      <c r="L111" s="17">
        <v>31.28</v>
      </c>
      <c r="M111" s="17">
        <v>392</v>
      </c>
      <c r="N111" s="17" t="e">
        <f>[1]!Tabelle1325[[#This Row],[Anzahl Frames]]/[1]!Tabelle1325[[#This Row],[Aufnahmezeit '[s']]]</f>
        <v>#DIV/0!</v>
      </c>
      <c r="O111" s="25" t="e">
        <f>1/[1]!Tabelle1325[[#This Row],[Mean fps ]]</f>
        <v>#DIV/0!</v>
      </c>
      <c r="Q111" s="20"/>
      <c r="R111" s="21"/>
      <c r="S111" s="17">
        <v>1.3620000000000001</v>
      </c>
      <c r="T111" s="17">
        <v>1.1539999999999999</v>
      </c>
      <c r="U111" s="17">
        <v>1.962</v>
      </c>
      <c r="W111" s="7">
        <f>SUM(S102:S111)/10</f>
        <v>1.4157999999999999</v>
      </c>
      <c r="X111" s="7">
        <f t="shared" ref="X111" si="20">SUM(T102:T111)/10</f>
        <v>1.222</v>
      </c>
      <c r="Y111" s="7">
        <f t="shared" ref="Y111" si="21">SUM(U102:U111)/10</f>
        <v>1.8927</v>
      </c>
      <c r="Z111" s="17">
        <f>_xlfn.STDEV.S(S102:S111)</f>
        <v>7.020731205983223E-2</v>
      </c>
      <c r="AA111" s="17">
        <f>_xlfn.STDEV.S(T102:T111)</f>
        <v>8.0989711280713486E-2</v>
      </c>
      <c r="AB111" s="17">
        <f>_xlfn.STDEV.S(U102:U111)</f>
        <v>4.7726186615828496E-2</v>
      </c>
      <c r="AC111" s="17">
        <f>Tabelle1321011121517[[#This Row],[SD 1]]/Tabelle1321011121517[[#This Row],[Mean Visc. 1 '[mPas']]]</f>
        <v>4.958843908732323E-2</v>
      </c>
      <c r="AD111" s="17">
        <f>Tabelle1321011121517[[#This Row],[SD 2]]/Tabelle1321011121517[[#This Row],[Mean Visc. 2 '[mPas']2]]</f>
        <v>6.6276359476852287E-2</v>
      </c>
      <c r="AE111" s="17">
        <f>Tabelle1321011121517[[#This Row],[SD 3]]/Tabelle1321011121517[[#This Row],[Mean Visc. 3 '[mPas']3]]</f>
        <v>2.5215927836333543E-2</v>
      </c>
    </row>
    <row r="112" spans="1:31" s="7" customFormat="1" ht="15" thickTop="1" x14ac:dyDescent="0.3">
      <c r="A112">
        <v>111</v>
      </c>
      <c r="B112" s="4"/>
      <c r="C112" s="5"/>
      <c r="D112" s="7">
        <v>6</v>
      </c>
      <c r="E112" t="s">
        <v>182</v>
      </c>
      <c r="F112" t="s">
        <v>184</v>
      </c>
      <c r="G112" s="23"/>
      <c r="H112" s="12" t="s">
        <v>185</v>
      </c>
      <c r="I112" s="9" t="s">
        <v>12</v>
      </c>
      <c r="J112" s="7">
        <v>24.4</v>
      </c>
      <c r="K112" s="7">
        <v>21</v>
      </c>
      <c r="L112" s="7">
        <v>30.34</v>
      </c>
      <c r="M112" s="7">
        <v>379</v>
      </c>
      <c r="N112" s="7" t="e">
        <f>[1]!Tabelle1325[[#This Row],[Anzahl Frames]]/[1]!Tabelle1325[[#This Row],[Aufnahmezeit '[s']]]</f>
        <v>#DIV/0!</v>
      </c>
      <c r="O112" s="6" t="e">
        <f>1/[1]!Tabelle1325[[#This Row],[Mean fps ]]</f>
        <v>#DIV/0!</v>
      </c>
      <c r="Q112" s="3"/>
      <c r="R112" s="11"/>
      <c r="S112" s="7">
        <v>1.4730000000000001</v>
      </c>
      <c r="T112" s="7">
        <v>1.2470000000000001</v>
      </c>
      <c r="U112" s="7">
        <v>1.9730000000000001</v>
      </c>
      <c r="AC112" s="7" t="e">
        <f>Tabelle1321011121517[[#This Row],[SD 1]]/Tabelle1321011121517[[#This Row],[Mean Visc. 1 '[mPas']]]</f>
        <v>#DIV/0!</v>
      </c>
      <c r="AD112" s="7" t="e">
        <f>[1]!Tabelle1325[[#This Row],[SD 2]]/[1]!Tabelle1325[[#This Row],[Mean Visc. 2 '[mPas']2]]</f>
        <v>#DIV/0!</v>
      </c>
      <c r="AE112" s="7" t="e">
        <f>[1]!Tabelle1325[[#This Row],[SD 3]]/[1]!Tabelle1325[[#This Row],[Mean Visc. 3 '[mPas']3]]</f>
        <v>#DIV/0!</v>
      </c>
    </row>
    <row r="113" spans="1:31" s="7" customFormat="1" x14ac:dyDescent="0.3">
      <c r="A113">
        <v>112</v>
      </c>
      <c r="B113" s="4"/>
      <c r="C113" s="5"/>
      <c r="D113" s="7">
        <v>6</v>
      </c>
      <c r="E113" t="s">
        <v>182</v>
      </c>
      <c r="F113" t="s">
        <v>184</v>
      </c>
      <c r="G113" s="23"/>
      <c r="H113" s="12" t="s">
        <v>185</v>
      </c>
      <c r="I113" s="9" t="s">
        <v>12</v>
      </c>
      <c r="J113" s="7">
        <v>24.5</v>
      </c>
      <c r="K113" s="7">
        <v>21</v>
      </c>
      <c r="L113" s="7">
        <v>30.74</v>
      </c>
      <c r="M113" s="7">
        <v>384</v>
      </c>
      <c r="N113" s="7" t="e">
        <f>[1]!Tabelle1325[[#This Row],[Anzahl Frames]]/[1]!Tabelle1325[[#This Row],[Aufnahmezeit '[s']]]</f>
        <v>#DIV/0!</v>
      </c>
      <c r="O113" s="6" t="e">
        <f>1/[1]!Tabelle1325[[#This Row],[Mean fps ]]</f>
        <v>#DIV/0!</v>
      </c>
      <c r="Q113" s="3"/>
      <c r="R113" s="11"/>
      <c r="S113" s="7">
        <v>1.4470000000000001</v>
      </c>
      <c r="T113" s="7">
        <v>1.294</v>
      </c>
      <c r="U113" s="7">
        <v>1.998</v>
      </c>
      <c r="AC113" s="7" t="e">
        <f>Tabelle1321011121517[[#This Row],[SD 1]]/Tabelle1321011121517[[#This Row],[Mean Visc. 1 '[mPas']]]</f>
        <v>#DIV/0!</v>
      </c>
      <c r="AD113" s="7" t="e">
        <f>[1]!Tabelle1325[[#This Row],[SD 2]]/[1]!Tabelle1325[[#This Row],[Mean Visc. 2 '[mPas']2]]</f>
        <v>#DIV/0!</v>
      </c>
      <c r="AE113" s="7" t="e">
        <f>[1]!Tabelle1325[[#This Row],[SD 3]]/[1]!Tabelle1325[[#This Row],[Mean Visc. 3 '[mPas']3]]</f>
        <v>#DIV/0!</v>
      </c>
    </row>
    <row r="114" spans="1:31" s="7" customFormat="1" x14ac:dyDescent="0.3">
      <c r="A114">
        <v>113</v>
      </c>
      <c r="B114" s="4"/>
      <c r="C114" s="5"/>
      <c r="D114" s="7">
        <v>6</v>
      </c>
      <c r="E114" t="s">
        <v>182</v>
      </c>
      <c r="F114" t="s">
        <v>184</v>
      </c>
      <c r="G114" s="23"/>
      <c r="H114" s="12" t="s">
        <v>185</v>
      </c>
      <c r="I114" s="9" t="s">
        <v>12</v>
      </c>
      <c r="J114" s="7">
        <v>24.5</v>
      </c>
      <c r="K114" s="7">
        <v>19</v>
      </c>
      <c r="L114" s="7">
        <v>31.14</v>
      </c>
      <c r="M114" s="7">
        <v>389</v>
      </c>
      <c r="N114" s="7" t="e">
        <f>[1]!Tabelle1325[[#This Row],[Anzahl Frames]]/[1]!Tabelle1325[[#This Row],[Aufnahmezeit '[s']]]</f>
        <v>#DIV/0!</v>
      </c>
      <c r="O114" s="6" t="e">
        <f>1/[1]!Tabelle1325[[#This Row],[Mean fps ]]</f>
        <v>#DIV/0!</v>
      </c>
      <c r="Q114" s="3"/>
      <c r="R114" s="11"/>
      <c r="S114" s="7">
        <v>1.4350000000000001</v>
      </c>
      <c r="T114" s="7">
        <v>1.256</v>
      </c>
      <c r="U114" s="7">
        <v>1.9750000000000001</v>
      </c>
      <c r="AC114" s="7" t="e">
        <f>Tabelle1321011121517[[#This Row],[SD 1]]/Tabelle1321011121517[[#This Row],[Mean Visc. 1 '[mPas']]]</f>
        <v>#DIV/0!</v>
      </c>
      <c r="AD114" s="7" t="e">
        <f>[1]!Tabelle1325[[#This Row],[SD 2]]/[1]!Tabelle1325[[#This Row],[Mean Visc. 2 '[mPas']2]]</f>
        <v>#DIV/0!</v>
      </c>
      <c r="AE114" s="7" t="e">
        <f>[1]!Tabelle1325[[#This Row],[SD 3]]/[1]!Tabelle1325[[#This Row],[Mean Visc. 3 '[mPas']3]]</f>
        <v>#DIV/0!</v>
      </c>
    </row>
    <row r="115" spans="1:31" s="7" customFormat="1" x14ac:dyDescent="0.3">
      <c r="A115">
        <v>114</v>
      </c>
      <c r="B115" s="4"/>
      <c r="C115" s="5"/>
      <c r="D115" s="7">
        <v>6</v>
      </c>
      <c r="E115" t="s">
        <v>182</v>
      </c>
      <c r="F115" t="s">
        <v>184</v>
      </c>
      <c r="G115" s="23"/>
      <c r="H115" s="12" t="s">
        <v>185</v>
      </c>
      <c r="I115" s="9" t="s">
        <v>12</v>
      </c>
      <c r="J115" s="7">
        <v>24.5</v>
      </c>
      <c r="K115" s="7">
        <v>19</v>
      </c>
      <c r="L115" s="7">
        <v>30.58</v>
      </c>
      <c r="M115" s="7">
        <v>382</v>
      </c>
      <c r="N115" s="7" t="e">
        <f>[1]!Tabelle1325[[#This Row],[Anzahl Frames]]/[1]!Tabelle1325[[#This Row],[Aufnahmezeit '[s']]]</f>
        <v>#DIV/0!</v>
      </c>
      <c r="O115" s="6" t="e">
        <f>1/[1]!Tabelle1325[[#This Row],[Mean fps ]]</f>
        <v>#DIV/0!</v>
      </c>
      <c r="Q115" s="3"/>
      <c r="R115" s="11"/>
      <c r="S115" s="7">
        <v>1.4910000000000001</v>
      </c>
      <c r="T115" s="7">
        <v>1.236</v>
      </c>
      <c r="U115" s="7">
        <v>1.8280000000000001</v>
      </c>
      <c r="AC115" s="7" t="e">
        <f>Tabelle1321011121517[[#This Row],[SD 1]]/Tabelle1321011121517[[#This Row],[Mean Visc. 1 '[mPas']]]</f>
        <v>#DIV/0!</v>
      </c>
      <c r="AD115" s="7" t="e">
        <f>[1]!Tabelle1325[[#This Row],[SD 2]]/[1]!Tabelle1325[[#This Row],[Mean Visc. 2 '[mPas']2]]</f>
        <v>#DIV/0!</v>
      </c>
      <c r="AE115" s="7" t="e">
        <f>[1]!Tabelle1325[[#This Row],[SD 3]]/[1]!Tabelle1325[[#This Row],[Mean Visc. 3 '[mPas']3]]</f>
        <v>#DIV/0!</v>
      </c>
    </row>
    <row r="116" spans="1:31" s="17" customFormat="1" ht="15" thickBot="1" x14ac:dyDescent="0.35">
      <c r="A116">
        <v>115</v>
      </c>
      <c r="B116" s="15"/>
      <c r="C116" s="16"/>
      <c r="D116" s="7">
        <v>6</v>
      </c>
      <c r="E116" t="s">
        <v>182</v>
      </c>
      <c r="F116" t="s">
        <v>184</v>
      </c>
      <c r="G116" s="23"/>
      <c r="H116" s="12" t="s">
        <v>185</v>
      </c>
      <c r="I116" s="9" t="s">
        <v>12</v>
      </c>
      <c r="J116" s="17">
        <v>24.5</v>
      </c>
      <c r="K116" s="17">
        <v>19</v>
      </c>
      <c r="L116" s="17">
        <v>31.44</v>
      </c>
      <c r="M116" s="17">
        <v>394</v>
      </c>
      <c r="N116" s="17" t="e">
        <f>[1]!Tabelle1325[[#This Row],[Anzahl Frames]]/[1]!Tabelle1325[[#This Row],[Aufnahmezeit '[s']]]</f>
        <v>#DIV/0!</v>
      </c>
      <c r="O116" s="25" t="e">
        <f>1/[1]!Tabelle1325[[#This Row],[Mean fps ]]</f>
        <v>#DIV/0!</v>
      </c>
      <c r="Q116" s="20"/>
      <c r="R116" s="21"/>
      <c r="S116" s="17">
        <v>1.524</v>
      </c>
      <c r="T116" s="17">
        <v>1.3260000000000001</v>
      </c>
      <c r="U116" s="17">
        <v>1.992</v>
      </c>
      <c r="AC116" s="17" t="e">
        <f>Tabelle1321011121517[[#This Row],[SD 1]]/Tabelle1321011121517[[#This Row],[Mean Visc. 1 '[mPas']]]</f>
        <v>#DIV/0!</v>
      </c>
      <c r="AD116" s="17" t="e">
        <f>[1]!Tabelle1325[[#This Row],[SD 2]]/[1]!Tabelle1325[[#This Row],[Mean Visc. 2 '[mPas']2]]</f>
        <v>#DIV/0!</v>
      </c>
      <c r="AE116" s="17" t="e">
        <f>[1]!Tabelle1325[[#This Row],[SD 3]]/[1]!Tabelle1325[[#This Row],[Mean Visc. 3 '[mPas']3]]</f>
        <v>#DIV/0!</v>
      </c>
    </row>
    <row r="117" spans="1:31" s="7" customFormat="1" ht="15" thickTop="1" x14ac:dyDescent="0.3">
      <c r="A117">
        <v>116</v>
      </c>
      <c r="B117" s="4"/>
      <c r="C117" s="5"/>
      <c r="D117" s="7">
        <v>6</v>
      </c>
      <c r="E117" t="s">
        <v>182</v>
      </c>
      <c r="F117" t="s">
        <v>184</v>
      </c>
      <c r="G117" s="23"/>
      <c r="H117" s="12" t="s">
        <v>185</v>
      </c>
      <c r="I117" s="9" t="s">
        <v>12</v>
      </c>
      <c r="J117" s="7">
        <v>24.6</v>
      </c>
      <c r="K117" s="7">
        <v>19</v>
      </c>
      <c r="L117" s="7">
        <v>30.72</v>
      </c>
      <c r="M117" s="7">
        <v>384</v>
      </c>
      <c r="N117" s="7" t="e">
        <f>[1]!Tabelle1325[[#This Row],[Anzahl Frames]]/[1]!Tabelle1325[[#This Row],[Aufnahmezeit '[s']]]</f>
        <v>#DIV/0!</v>
      </c>
      <c r="O117" s="6" t="e">
        <f>1/[1]!Tabelle1325[[#This Row],[Mean fps ]]</f>
        <v>#DIV/0!</v>
      </c>
      <c r="Q117" s="3"/>
      <c r="R117" s="11"/>
      <c r="S117" s="7">
        <v>1.373</v>
      </c>
      <c r="T117" s="7">
        <v>1.2170000000000001</v>
      </c>
      <c r="U117" s="7">
        <v>2.0019999999999998</v>
      </c>
      <c r="AC117" s="7" t="e">
        <f>Tabelle1321011121517[[#This Row],[SD 1]]/Tabelle1321011121517[[#This Row],[Mean Visc. 1 '[mPas']]]</f>
        <v>#DIV/0!</v>
      </c>
      <c r="AD117" s="7" t="e">
        <f>[1]!Tabelle1325[[#This Row],[SD 2]]/[1]!Tabelle1325[[#This Row],[Mean Visc. 2 '[mPas']2]]</f>
        <v>#DIV/0!</v>
      </c>
      <c r="AE117" s="7" t="e">
        <f>[1]!Tabelle1325[[#This Row],[SD 3]]/[1]!Tabelle1325[[#This Row],[Mean Visc. 3 '[mPas']3]]</f>
        <v>#DIV/0!</v>
      </c>
    </row>
    <row r="118" spans="1:31" s="7" customFormat="1" x14ac:dyDescent="0.3">
      <c r="A118">
        <v>117</v>
      </c>
      <c r="B118" s="4"/>
      <c r="C118" s="5"/>
      <c r="D118" s="7">
        <v>6</v>
      </c>
      <c r="E118" t="s">
        <v>182</v>
      </c>
      <c r="F118" t="s">
        <v>184</v>
      </c>
      <c r="G118" s="23"/>
      <c r="H118" s="12" t="s">
        <v>185</v>
      </c>
      <c r="I118" s="9" t="s">
        <v>12</v>
      </c>
      <c r="J118" s="7">
        <v>24.6</v>
      </c>
      <c r="K118" s="7">
        <v>19</v>
      </c>
      <c r="L118" s="7">
        <v>30.72</v>
      </c>
      <c r="M118" s="7">
        <v>385</v>
      </c>
      <c r="N118" s="7" t="e">
        <f>[1]!Tabelle1325[[#This Row],[Anzahl Frames]]/[1]!Tabelle1325[[#This Row],[Aufnahmezeit '[s']]]</f>
        <v>#DIV/0!</v>
      </c>
      <c r="O118" s="6" t="e">
        <f>1/[1]!Tabelle1325[[#This Row],[Mean fps ]]</f>
        <v>#DIV/0!</v>
      </c>
      <c r="Q118" s="3"/>
      <c r="R118" s="11"/>
      <c r="S118" s="7">
        <v>1.4139999999999999</v>
      </c>
      <c r="T118" s="7">
        <v>1.1140000000000001</v>
      </c>
      <c r="U118" s="7">
        <v>1.8740000000000001</v>
      </c>
      <c r="AC118" s="7" t="e">
        <f>Tabelle1321011121517[[#This Row],[SD 1]]/Tabelle1321011121517[[#This Row],[Mean Visc. 1 '[mPas']]]</f>
        <v>#DIV/0!</v>
      </c>
      <c r="AD118" s="7" t="e">
        <f>[1]!Tabelle1325[[#This Row],[SD 2]]/[1]!Tabelle1325[[#This Row],[Mean Visc. 2 '[mPas']2]]</f>
        <v>#DIV/0!</v>
      </c>
      <c r="AE118" s="7" t="e">
        <f>[1]!Tabelle1325[[#This Row],[SD 3]]/[1]!Tabelle1325[[#This Row],[Mean Visc. 3 '[mPas']3]]</f>
        <v>#DIV/0!</v>
      </c>
    </row>
    <row r="119" spans="1:31" s="7" customFormat="1" x14ac:dyDescent="0.3">
      <c r="A119">
        <v>118</v>
      </c>
      <c r="B119" s="4"/>
      <c r="C119" s="5"/>
      <c r="D119" s="7">
        <v>6</v>
      </c>
      <c r="E119" t="s">
        <v>182</v>
      </c>
      <c r="F119" t="s">
        <v>184</v>
      </c>
      <c r="G119" s="23"/>
      <c r="H119" s="12" t="s">
        <v>185</v>
      </c>
      <c r="I119" s="9" t="s">
        <v>12</v>
      </c>
      <c r="J119" s="7">
        <v>24.7</v>
      </c>
      <c r="K119" s="7">
        <v>19</v>
      </c>
      <c r="L119" s="7">
        <v>32.24</v>
      </c>
      <c r="M119" s="7">
        <v>404</v>
      </c>
      <c r="N119" s="7" t="e">
        <f>[1]!Tabelle1325[[#This Row],[Anzahl Frames]]/[1]!Tabelle1325[[#This Row],[Aufnahmezeit '[s']]]</f>
        <v>#DIV/0!</v>
      </c>
      <c r="O119" s="6" t="e">
        <f>1/[1]!Tabelle1325[[#This Row],[Mean fps ]]</f>
        <v>#DIV/0!</v>
      </c>
      <c r="Q119" s="3"/>
      <c r="R119" s="11"/>
      <c r="S119" s="7">
        <v>1.47</v>
      </c>
      <c r="T119" s="7">
        <v>1.1879999999999999</v>
      </c>
      <c r="U119" s="7">
        <v>2.0179999999999998</v>
      </c>
      <c r="AC119" s="7" t="e">
        <f>Tabelle1321011121517[[#This Row],[SD 1]]/Tabelle1321011121517[[#This Row],[Mean Visc. 1 '[mPas']]]</f>
        <v>#DIV/0!</v>
      </c>
      <c r="AD119" s="7" t="e">
        <f>[1]!Tabelle1325[[#This Row],[SD 2]]/[1]!Tabelle1325[[#This Row],[Mean Visc. 2 '[mPas']2]]</f>
        <v>#DIV/0!</v>
      </c>
      <c r="AE119" s="7" t="e">
        <f>[1]!Tabelle1325[[#This Row],[SD 3]]/[1]!Tabelle1325[[#This Row],[Mean Visc. 3 '[mPas']3]]</f>
        <v>#DIV/0!</v>
      </c>
    </row>
    <row r="120" spans="1:31" s="7" customFormat="1" x14ac:dyDescent="0.3">
      <c r="A120">
        <v>119</v>
      </c>
      <c r="B120" s="4"/>
      <c r="C120" s="5"/>
      <c r="D120" s="7">
        <v>6</v>
      </c>
      <c r="E120" t="s">
        <v>182</v>
      </c>
      <c r="F120" t="s">
        <v>184</v>
      </c>
      <c r="G120" s="23"/>
      <c r="H120" s="12" t="s">
        <v>185</v>
      </c>
      <c r="I120" s="9" t="s">
        <v>12</v>
      </c>
      <c r="J120" s="7">
        <v>24.7</v>
      </c>
      <c r="K120" s="7">
        <v>19</v>
      </c>
      <c r="L120" s="7">
        <v>29.74</v>
      </c>
      <c r="M120" s="7">
        <v>372</v>
      </c>
      <c r="N120" s="7" t="e">
        <f>[1]!Tabelle1325[[#This Row],[Anzahl Frames]]/[1]!Tabelle1325[[#This Row],[Aufnahmezeit '[s']]]</f>
        <v>#DIV/0!</v>
      </c>
      <c r="O120" s="6" t="e">
        <f>1/[1]!Tabelle1325[[#This Row],[Mean fps ]]</f>
        <v>#DIV/0!</v>
      </c>
      <c r="Q120" s="3"/>
      <c r="R120" s="11"/>
      <c r="S120" s="7">
        <v>1.286</v>
      </c>
      <c r="T120" s="7">
        <v>1.0589999999999999</v>
      </c>
      <c r="U120" s="7">
        <v>1.641</v>
      </c>
      <c r="AC120" s="7" t="e">
        <f>Tabelle1321011121517[[#This Row],[SD 1]]/Tabelle1321011121517[[#This Row],[Mean Visc. 1 '[mPas']]]</f>
        <v>#DIV/0!</v>
      </c>
      <c r="AD120" s="7" t="e">
        <f>[1]!Tabelle1325[[#This Row],[SD 2]]/[1]!Tabelle1325[[#This Row],[Mean Visc. 2 '[mPas']2]]</f>
        <v>#DIV/0!</v>
      </c>
      <c r="AE120" s="7" t="e">
        <f>[1]!Tabelle1325[[#This Row],[SD 3]]/[1]!Tabelle1325[[#This Row],[Mean Visc. 3 '[mPas']3]]</f>
        <v>#DIV/0!</v>
      </c>
    </row>
    <row r="121" spans="1:31" s="17" customFormat="1" ht="15" thickBot="1" x14ac:dyDescent="0.35">
      <c r="A121">
        <v>120</v>
      </c>
      <c r="B121" s="15"/>
      <c r="C121" s="16"/>
      <c r="D121" s="7">
        <v>6</v>
      </c>
      <c r="E121" t="s">
        <v>182</v>
      </c>
      <c r="F121" t="s">
        <v>184</v>
      </c>
      <c r="G121" s="23"/>
      <c r="H121" s="12" t="s">
        <v>185</v>
      </c>
      <c r="I121" s="9" t="s">
        <v>12</v>
      </c>
      <c r="J121" s="17">
        <v>24.7</v>
      </c>
      <c r="K121" s="17">
        <v>19</v>
      </c>
      <c r="L121" s="17">
        <v>30.96</v>
      </c>
      <c r="M121" s="17">
        <v>387</v>
      </c>
      <c r="N121" s="17" t="e">
        <f>[1]!Tabelle1325[[#This Row],[Anzahl Frames]]/[1]!Tabelle1325[[#This Row],[Aufnahmezeit '[s']]]</f>
        <v>#DIV/0!</v>
      </c>
      <c r="O121" s="25" t="e">
        <f>1/[1]!Tabelle1325[[#This Row],[Mean fps ]]</f>
        <v>#DIV/0!</v>
      </c>
      <c r="Q121" s="20"/>
      <c r="R121" s="21"/>
      <c r="S121" s="17">
        <v>1.419</v>
      </c>
      <c r="T121" s="17">
        <v>1.1379999999999999</v>
      </c>
      <c r="U121" s="17">
        <v>1.9970000000000001</v>
      </c>
      <c r="W121" s="7">
        <f>SUM(S112:S121)/10</f>
        <v>1.4332</v>
      </c>
      <c r="X121" s="7">
        <f t="shared" ref="X121" si="22">SUM(T112:T121)/10</f>
        <v>1.2075</v>
      </c>
      <c r="Y121" s="7">
        <f t="shared" ref="Y121" si="23">SUM(U112:U121)/10</f>
        <v>1.9298000000000002</v>
      </c>
      <c r="Z121" s="17">
        <f>_xlfn.STDEV.S(S112:S121)</f>
        <v>6.7147929561859512E-2</v>
      </c>
      <c r="AA121" s="17">
        <f>_xlfn.STDEV.S(T112:T121)</f>
        <v>8.3229602105661132E-2</v>
      </c>
      <c r="AB121" s="17">
        <f>_xlfn.STDEV.S(U112:U121)</f>
        <v>0.11870579879124128</v>
      </c>
      <c r="AC121" s="17">
        <f>Tabelle1321011121517[[#This Row],[SD 1]]/Tabelle1321011121517[[#This Row],[Mean Visc. 1 '[mPas']]]</f>
        <v>4.6851751019996869E-2</v>
      </c>
      <c r="AD121" s="17">
        <f>Tabelle1321011121517[[#This Row],[SD 2]]/Tabelle1321011121517[[#This Row],[Mean Visc. 2 '[mPas']2]]</f>
        <v>6.892720671276284E-2</v>
      </c>
      <c r="AE121" s="17">
        <f>Tabelle1321011121517[[#This Row],[SD 3]]/Tabelle1321011121517[[#This Row],[Mean Visc. 3 '[mPas']3]]</f>
        <v>6.1511969525982625E-2</v>
      </c>
    </row>
    <row r="122" spans="1:31" s="7" customFormat="1" ht="15" thickTop="1" x14ac:dyDescent="0.3">
      <c r="A122">
        <v>121</v>
      </c>
      <c r="B122" s="4"/>
      <c r="C122" s="5"/>
      <c r="D122" s="7">
        <v>7</v>
      </c>
      <c r="E122" t="s">
        <v>165</v>
      </c>
      <c r="F122" t="s">
        <v>170</v>
      </c>
      <c r="G122" s="23"/>
      <c r="H122" s="12" t="s">
        <v>160</v>
      </c>
      <c r="I122" s="9" t="s">
        <v>12</v>
      </c>
      <c r="J122" s="7">
        <v>24.5</v>
      </c>
      <c r="K122" s="7">
        <v>10</v>
      </c>
      <c r="L122" s="7">
        <v>29.78</v>
      </c>
      <c r="M122" s="7">
        <v>376</v>
      </c>
      <c r="N122" s="7" t="e">
        <f>[1]!Tabelle1325[[#This Row],[Anzahl Frames]]/[1]!Tabelle1325[[#This Row],[Aufnahmezeit '[s']]]</f>
        <v>#VALUE!</v>
      </c>
      <c r="O122" s="6" t="e">
        <f>1/[1]!Tabelle1325[[#This Row],[Mean fps ]]</f>
        <v>#VALUE!</v>
      </c>
      <c r="Q122" s="3"/>
      <c r="R122" s="11"/>
      <c r="S122" s="7">
        <v>1.6639999999999999</v>
      </c>
      <c r="T122" s="7">
        <v>1.252</v>
      </c>
      <c r="U122" s="7">
        <v>2</v>
      </c>
      <c r="AC122" s="7" t="e">
        <f>Tabelle1321011121517[[#This Row],[SD 1]]/Tabelle1321011121517[[#This Row],[Mean Visc. 1 '[mPas']]]</f>
        <v>#DIV/0!</v>
      </c>
      <c r="AD122" s="7" t="e">
        <f>[1]!Tabelle1325[[#This Row],[SD 2]]/[1]!Tabelle1325[[#This Row],[Mean Visc. 2 '[mPas']2]]</f>
        <v>#VALUE!</v>
      </c>
      <c r="AE122" s="7" t="e">
        <f>[1]!Tabelle1325[[#This Row],[SD 3]]/[1]!Tabelle1325[[#This Row],[Mean Visc. 3 '[mPas']3]]</f>
        <v>#VALUE!</v>
      </c>
    </row>
    <row r="123" spans="1:31" s="7" customFormat="1" x14ac:dyDescent="0.3">
      <c r="A123">
        <v>122</v>
      </c>
      <c r="B123" s="4"/>
      <c r="C123" s="5"/>
      <c r="D123" s="7">
        <v>7</v>
      </c>
      <c r="E123" t="s">
        <v>165</v>
      </c>
      <c r="F123" t="s">
        <v>170</v>
      </c>
      <c r="G123" s="23"/>
      <c r="H123" s="12" t="s">
        <v>160</v>
      </c>
      <c r="I123" s="9" t="s">
        <v>12</v>
      </c>
      <c r="J123" s="7">
        <v>24.7</v>
      </c>
      <c r="K123" s="7">
        <v>10</v>
      </c>
      <c r="L123" s="7">
        <v>34.479999999999997</v>
      </c>
      <c r="M123" s="7">
        <v>432</v>
      </c>
      <c r="N123" s="7" t="e">
        <f>[1]!Tabelle1325[[#This Row],[Anzahl Frames]]/[1]!Tabelle1325[[#This Row],[Aufnahmezeit '[s']]]</f>
        <v>#VALUE!</v>
      </c>
      <c r="O123" s="6" t="e">
        <f>1/[1]!Tabelle1325[[#This Row],[Mean fps ]]</f>
        <v>#VALUE!</v>
      </c>
      <c r="Q123" s="3"/>
      <c r="R123" s="11"/>
      <c r="S123" s="7">
        <v>1.948</v>
      </c>
      <c r="T123" s="7">
        <v>1.6559999999999999</v>
      </c>
      <c r="U123" s="7">
        <v>2.1579999999999999</v>
      </c>
      <c r="AC123" s="7" t="e">
        <f>Tabelle1321011121517[[#This Row],[SD 1]]/Tabelle1321011121517[[#This Row],[Mean Visc. 1 '[mPas']]]</f>
        <v>#DIV/0!</v>
      </c>
      <c r="AD123" s="7" t="e">
        <f>[1]!Tabelle1325[[#This Row],[SD 2]]/[1]!Tabelle1325[[#This Row],[Mean Visc. 2 '[mPas']2]]</f>
        <v>#VALUE!</v>
      </c>
      <c r="AE123" s="7" t="e">
        <f>[1]!Tabelle1325[[#This Row],[SD 3]]/[1]!Tabelle1325[[#This Row],[Mean Visc. 3 '[mPas']3]]</f>
        <v>#VALUE!</v>
      </c>
    </row>
    <row r="124" spans="1:31" x14ac:dyDescent="0.3">
      <c r="A124">
        <v>123</v>
      </c>
      <c r="B124" s="4"/>
      <c r="C124" s="5"/>
      <c r="D124" s="7">
        <v>7</v>
      </c>
      <c r="E124" t="s">
        <v>165</v>
      </c>
      <c r="F124" t="s">
        <v>170</v>
      </c>
      <c r="G124" s="23"/>
      <c r="H124" s="12" t="s">
        <v>160</v>
      </c>
      <c r="I124" s="9" t="s">
        <v>12</v>
      </c>
      <c r="J124" s="7">
        <v>24.8</v>
      </c>
      <c r="K124" s="7">
        <v>10</v>
      </c>
      <c r="L124" s="7">
        <v>32.4</v>
      </c>
      <c r="M124" s="7">
        <v>405</v>
      </c>
      <c r="N124" s="7" t="e">
        <f>[1]!Tabelle1325[[#This Row],[Anzahl Frames]]/[1]!Tabelle1325[[#This Row],[Aufnahmezeit '[s']]]</f>
        <v>#VALUE!</v>
      </c>
      <c r="O124" s="6" t="e">
        <f>1/[1]!Tabelle1325[[#This Row],[Mean fps ]]</f>
        <v>#VALUE!</v>
      </c>
      <c r="S124" s="7">
        <v>1.8080000000000001</v>
      </c>
      <c r="T124" s="7">
        <v>1.5669999999999999</v>
      </c>
      <c r="U124" s="7">
        <v>1.9390000000000001</v>
      </c>
      <c r="V124" s="7"/>
      <c r="W124" s="7"/>
      <c r="X124" s="7"/>
      <c r="Y124" s="7"/>
      <c r="Z124" s="7"/>
      <c r="AA124" s="7"/>
      <c r="AB124" s="7"/>
      <c r="AC124" s="7" t="e">
        <f>Tabelle1321011121517[[#This Row],[SD 1]]/Tabelle1321011121517[[#This Row],[Mean Visc. 1 '[mPas']]]</f>
        <v>#DIV/0!</v>
      </c>
      <c r="AD124" s="7" t="e">
        <f>[1]!Tabelle1325[[#This Row],[SD 2]]/[1]!Tabelle1325[[#This Row],[Mean Visc. 2 '[mPas']2]]</f>
        <v>#VALUE!</v>
      </c>
      <c r="AE124" s="7" t="e">
        <f>[1]!Tabelle1325[[#This Row],[SD 3]]/[1]!Tabelle1325[[#This Row],[Mean Visc. 3 '[mPas']3]]</f>
        <v>#VALUE!</v>
      </c>
    </row>
    <row r="125" spans="1:31" x14ac:dyDescent="0.3">
      <c r="A125">
        <v>124</v>
      </c>
      <c r="B125" s="4"/>
      <c r="C125" s="5"/>
      <c r="D125" s="7">
        <v>7</v>
      </c>
      <c r="E125" t="s">
        <v>165</v>
      </c>
      <c r="F125" t="s">
        <v>170</v>
      </c>
      <c r="G125" s="23"/>
      <c r="H125" s="12" t="s">
        <v>160</v>
      </c>
      <c r="I125" s="9" t="s">
        <v>12</v>
      </c>
      <c r="J125" s="7">
        <v>24.9</v>
      </c>
      <c r="K125" s="7">
        <v>10</v>
      </c>
      <c r="L125" s="7">
        <v>30.88</v>
      </c>
      <c r="M125" s="7">
        <v>387</v>
      </c>
      <c r="N125" s="7" t="e">
        <f>[1]!Tabelle1325[[#This Row],[Anzahl Frames]]/[1]!Tabelle1325[[#This Row],[Aufnahmezeit '[s']]]</f>
        <v>#VALUE!</v>
      </c>
      <c r="O125" s="6" t="e">
        <f>1/[1]!Tabelle1325[[#This Row],[Mean fps ]]</f>
        <v>#VALUE!</v>
      </c>
      <c r="S125" s="7">
        <v>2.2280000000000002</v>
      </c>
      <c r="T125" s="7">
        <v>1.802</v>
      </c>
      <c r="U125" s="7">
        <v>2.1760000000000002</v>
      </c>
      <c r="V125" s="7"/>
      <c r="W125" s="7"/>
      <c r="X125" s="7"/>
      <c r="Y125" s="7"/>
      <c r="Z125" s="7"/>
      <c r="AA125" s="7"/>
      <c r="AB125" s="7"/>
      <c r="AC125" s="7" t="e">
        <f>Tabelle1321011121517[[#This Row],[SD 1]]/Tabelle1321011121517[[#This Row],[Mean Visc. 1 '[mPas']]]</f>
        <v>#DIV/0!</v>
      </c>
      <c r="AD125" s="7" t="e">
        <f>[1]!Tabelle1325[[#This Row],[SD 2]]/[1]!Tabelle1325[[#This Row],[Mean Visc. 2 '[mPas']2]]</f>
        <v>#VALUE!</v>
      </c>
      <c r="AE125" s="7" t="e">
        <f>[1]!Tabelle1325[[#This Row],[SD 3]]/[1]!Tabelle1325[[#This Row],[Mean Visc. 3 '[mPas']3]]</f>
        <v>#VALUE!</v>
      </c>
    </row>
    <row r="126" spans="1:31" s="14" customFormat="1" ht="15" thickBot="1" x14ac:dyDescent="0.35">
      <c r="A126">
        <v>125</v>
      </c>
      <c r="B126" s="15"/>
      <c r="C126" s="16"/>
      <c r="D126" s="17">
        <v>7</v>
      </c>
      <c r="E126" s="14" t="s">
        <v>165</v>
      </c>
      <c r="F126" s="14" t="s">
        <v>170</v>
      </c>
      <c r="G126" s="24"/>
      <c r="H126" s="12" t="s">
        <v>160</v>
      </c>
      <c r="I126" s="19" t="s">
        <v>12</v>
      </c>
      <c r="J126" s="17">
        <v>25</v>
      </c>
      <c r="K126" s="17">
        <v>10</v>
      </c>
      <c r="L126" s="17">
        <v>30.58</v>
      </c>
      <c r="M126" s="17">
        <v>382</v>
      </c>
      <c r="N126" s="17" t="e">
        <f>[1]!Tabelle1325[[#This Row],[Anzahl Frames]]/[1]!Tabelle1325[[#This Row],[Aufnahmezeit '[s']]]</f>
        <v>#VALUE!</v>
      </c>
      <c r="O126" s="25" t="e">
        <f>1/[1]!Tabelle1325[[#This Row],[Mean fps ]]</f>
        <v>#VALUE!</v>
      </c>
      <c r="P126" s="17"/>
      <c r="Q126" s="20"/>
      <c r="R126" s="21"/>
      <c r="S126" s="17">
        <v>2.044</v>
      </c>
      <c r="T126" s="17">
        <v>1.484</v>
      </c>
      <c r="U126" s="17">
        <v>2.1</v>
      </c>
      <c r="V126" s="17"/>
      <c r="W126" s="17"/>
      <c r="X126" s="17"/>
      <c r="Y126" s="17"/>
      <c r="Z126" s="17"/>
      <c r="AA126" s="17"/>
      <c r="AB126" s="17"/>
      <c r="AC126" s="17" t="e">
        <f>Tabelle1321011121517[[#This Row],[SD 1]]/Tabelle1321011121517[[#This Row],[Mean Visc. 1 '[mPas']]]</f>
        <v>#DIV/0!</v>
      </c>
      <c r="AD126" s="17" t="e">
        <f>[1]!Tabelle1325[[#This Row],[SD 2]]/[1]!Tabelle1325[[#This Row],[Mean Visc. 2 '[mPas']2]]</f>
        <v>#VALUE!</v>
      </c>
      <c r="AE126" s="17" t="e">
        <f>[1]!Tabelle1325[[#This Row],[SD 3]]/[1]!Tabelle1325[[#This Row],[Mean Visc. 3 '[mPas']3]]</f>
        <v>#VALUE!</v>
      </c>
    </row>
    <row r="127" spans="1:31" ht="15" thickTop="1" x14ac:dyDescent="0.3">
      <c r="A127">
        <v>126</v>
      </c>
      <c r="B127" s="4"/>
      <c r="C127" s="5"/>
      <c r="D127" s="7">
        <v>7</v>
      </c>
      <c r="E127" t="s">
        <v>165</v>
      </c>
      <c r="F127" t="s">
        <v>170</v>
      </c>
      <c r="G127" s="23"/>
      <c r="H127" s="12" t="s">
        <v>160</v>
      </c>
      <c r="I127" s="9" t="s">
        <v>12</v>
      </c>
      <c r="J127" s="7">
        <v>25</v>
      </c>
      <c r="K127" s="7">
        <v>10</v>
      </c>
      <c r="L127" s="7">
        <v>30.88</v>
      </c>
      <c r="M127" s="7">
        <v>386</v>
      </c>
      <c r="N127" s="7" t="e">
        <f>[1]!Tabelle1325[[#This Row],[Anzahl Frames]]/[1]!Tabelle1325[[#This Row],[Aufnahmezeit '[s']]]</f>
        <v>#VALUE!</v>
      </c>
      <c r="O127" s="6" t="e">
        <f>1/[1]!Tabelle1325[[#This Row],[Mean fps ]]</f>
        <v>#VALUE!</v>
      </c>
      <c r="S127" s="7">
        <v>1.7809999999999999</v>
      </c>
      <c r="T127" s="7">
        <v>1.5049999999999999</v>
      </c>
      <c r="U127" s="7">
        <v>1.776</v>
      </c>
      <c r="V127" s="7"/>
      <c r="W127" s="7"/>
      <c r="X127" s="7"/>
      <c r="Y127" s="7"/>
      <c r="Z127" s="7"/>
      <c r="AA127" s="7"/>
      <c r="AB127" s="7"/>
      <c r="AC127" s="7" t="e">
        <f>Tabelle1321011121517[[#This Row],[SD 1]]/Tabelle1321011121517[[#This Row],[Mean Visc. 1 '[mPas']]]</f>
        <v>#DIV/0!</v>
      </c>
      <c r="AD127" s="7" t="e">
        <f>[1]!Tabelle1325[[#This Row],[SD 2]]/[1]!Tabelle1325[[#This Row],[Mean Visc. 2 '[mPas']2]]</f>
        <v>#VALUE!</v>
      </c>
      <c r="AE127" s="7" t="e">
        <f>[1]!Tabelle1325[[#This Row],[SD 3]]/[1]!Tabelle1325[[#This Row],[Mean Visc. 3 '[mPas']3]]</f>
        <v>#VALUE!</v>
      </c>
    </row>
    <row r="128" spans="1:31" x14ac:dyDescent="0.3">
      <c r="A128">
        <v>127</v>
      </c>
      <c r="B128" s="4"/>
      <c r="C128" s="5"/>
      <c r="D128" s="7">
        <v>7</v>
      </c>
      <c r="E128" t="s">
        <v>165</v>
      </c>
      <c r="F128" t="s">
        <v>170</v>
      </c>
      <c r="G128" s="23"/>
      <c r="H128" s="12" t="s">
        <v>160</v>
      </c>
      <c r="I128" s="9" t="s">
        <v>12</v>
      </c>
      <c r="J128" s="7">
        <v>25</v>
      </c>
      <c r="K128" s="7">
        <v>10</v>
      </c>
      <c r="L128" s="7">
        <v>30.61</v>
      </c>
      <c r="M128" s="7">
        <v>382</v>
      </c>
      <c r="N128" s="7" t="e">
        <f>[1]!Tabelle1325[[#This Row],[Anzahl Frames]]/[1]!Tabelle1325[[#This Row],[Aufnahmezeit '[s']]]</f>
        <v>#VALUE!</v>
      </c>
      <c r="O128" s="6" t="e">
        <f>1/[1]!Tabelle1325[[#This Row],[Mean fps ]]</f>
        <v>#VALUE!</v>
      </c>
      <c r="S128" s="7">
        <v>1.923</v>
      </c>
      <c r="T128" s="7">
        <v>1.579</v>
      </c>
      <c r="U128" s="7">
        <v>2.02</v>
      </c>
      <c r="V128" s="7"/>
      <c r="W128" s="7"/>
      <c r="X128" s="7"/>
      <c r="Y128" s="7"/>
      <c r="Z128" s="7"/>
      <c r="AA128" s="7"/>
      <c r="AB128" s="7"/>
      <c r="AC128" s="7" t="e">
        <f>Tabelle1321011121517[[#This Row],[SD 1]]/Tabelle1321011121517[[#This Row],[Mean Visc. 1 '[mPas']]]</f>
        <v>#DIV/0!</v>
      </c>
      <c r="AD128" s="7" t="e">
        <f>[1]!Tabelle1325[[#This Row],[SD 2]]/[1]!Tabelle1325[[#This Row],[Mean Visc. 2 '[mPas']2]]</f>
        <v>#VALUE!</v>
      </c>
      <c r="AE128" s="7" t="e">
        <f>[1]!Tabelle1325[[#This Row],[SD 3]]/[1]!Tabelle1325[[#This Row],[Mean Visc. 3 '[mPas']3]]</f>
        <v>#VALUE!</v>
      </c>
    </row>
    <row r="129" spans="1:31" x14ac:dyDescent="0.3">
      <c r="A129">
        <v>128</v>
      </c>
      <c r="B129" s="4"/>
      <c r="C129" s="5"/>
      <c r="D129" s="7">
        <v>7</v>
      </c>
      <c r="E129" t="s">
        <v>165</v>
      </c>
      <c r="F129" t="s">
        <v>170</v>
      </c>
      <c r="G129" s="23"/>
      <c r="H129" s="12" t="s">
        <v>160</v>
      </c>
      <c r="I129" s="9" t="s">
        <v>12</v>
      </c>
      <c r="J129" s="7">
        <v>25.1</v>
      </c>
      <c r="K129" s="7">
        <v>10</v>
      </c>
      <c r="L129" s="7">
        <v>30.96</v>
      </c>
      <c r="M129" s="7">
        <v>387</v>
      </c>
      <c r="N129" s="7" t="e">
        <f>[1]!Tabelle1325[[#This Row],[Anzahl Frames]]/[1]!Tabelle1325[[#This Row],[Aufnahmezeit '[s']]]</f>
        <v>#VALUE!</v>
      </c>
      <c r="O129" s="6" t="e">
        <f>1/[1]!Tabelle1325[[#This Row],[Mean fps ]]</f>
        <v>#VALUE!</v>
      </c>
      <c r="S129" s="7">
        <v>1.6970000000000001</v>
      </c>
      <c r="T129" s="7">
        <v>1.468</v>
      </c>
      <c r="U129" s="7">
        <v>1.9550000000000001</v>
      </c>
      <c r="V129" s="7"/>
      <c r="W129" s="7"/>
      <c r="X129" s="7"/>
      <c r="Y129" s="7"/>
      <c r="Z129" s="7"/>
      <c r="AA129" s="7"/>
      <c r="AB129" s="7"/>
      <c r="AC129" s="7" t="e">
        <f>Tabelle1321011121517[[#This Row],[SD 1]]/Tabelle1321011121517[[#This Row],[Mean Visc. 1 '[mPas']]]</f>
        <v>#DIV/0!</v>
      </c>
      <c r="AD129" s="7" t="e">
        <f>[1]!Tabelle1325[[#This Row],[SD 2]]/[1]!Tabelle1325[[#This Row],[Mean Visc. 2 '[mPas']2]]</f>
        <v>#VALUE!</v>
      </c>
      <c r="AE129" s="7" t="e">
        <f>[1]!Tabelle1325[[#This Row],[SD 3]]/[1]!Tabelle1325[[#This Row],[Mean Visc. 3 '[mPas']3]]</f>
        <v>#VALUE!</v>
      </c>
    </row>
    <row r="130" spans="1:31" x14ac:dyDescent="0.3">
      <c r="A130">
        <v>129</v>
      </c>
      <c r="B130" s="4"/>
      <c r="C130" s="5"/>
      <c r="D130" s="7">
        <v>7</v>
      </c>
      <c r="E130" t="s">
        <v>165</v>
      </c>
      <c r="F130" t="s">
        <v>170</v>
      </c>
      <c r="G130" s="23"/>
      <c r="H130" s="12" t="s">
        <v>160</v>
      </c>
      <c r="I130" s="9" t="s">
        <v>12</v>
      </c>
      <c r="J130" s="7">
        <v>25.1</v>
      </c>
      <c r="K130" s="7">
        <v>10</v>
      </c>
      <c r="L130" s="7">
        <v>29.52</v>
      </c>
      <c r="M130" s="7">
        <v>369</v>
      </c>
      <c r="N130" s="7" t="e">
        <f>[1]!Tabelle1325[[#This Row],[Anzahl Frames]]/[1]!Tabelle1325[[#This Row],[Aufnahmezeit '[s']]]</f>
        <v>#VALUE!</v>
      </c>
      <c r="O130" s="6" t="e">
        <f>1/[1]!Tabelle1325[[#This Row],[Mean fps ]]</f>
        <v>#VALUE!</v>
      </c>
      <c r="S130" s="7">
        <v>1.718</v>
      </c>
      <c r="T130" s="7">
        <v>1.4490000000000001</v>
      </c>
      <c r="U130" s="7">
        <v>1.988</v>
      </c>
      <c r="V130" s="7"/>
      <c r="W130" s="7"/>
      <c r="X130" s="7"/>
      <c r="Y130" s="7"/>
      <c r="Z130" s="7"/>
      <c r="AA130" s="7"/>
      <c r="AB130" s="7"/>
      <c r="AC130" s="7" t="e">
        <f>Tabelle1321011121517[[#This Row],[SD 1]]/Tabelle1321011121517[[#This Row],[Mean Visc. 1 '[mPas']]]</f>
        <v>#DIV/0!</v>
      </c>
      <c r="AD130" s="7" t="e">
        <f>[1]!Tabelle1325[[#This Row],[SD 2]]/[1]!Tabelle1325[[#This Row],[Mean Visc. 2 '[mPas']2]]</f>
        <v>#VALUE!</v>
      </c>
      <c r="AE130" s="7" t="e">
        <f>[1]!Tabelle1325[[#This Row],[SD 3]]/[1]!Tabelle1325[[#This Row],[Mean Visc. 3 '[mPas']3]]</f>
        <v>#VALUE!</v>
      </c>
    </row>
    <row r="131" spans="1:31" s="14" customFormat="1" ht="15" thickBot="1" x14ac:dyDescent="0.35">
      <c r="A131">
        <v>130</v>
      </c>
      <c r="B131" s="15"/>
      <c r="C131" s="16"/>
      <c r="D131" s="17">
        <v>7</v>
      </c>
      <c r="E131" s="14" t="s">
        <v>165</v>
      </c>
      <c r="F131" s="14" t="s">
        <v>170</v>
      </c>
      <c r="G131" s="24"/>
      <c r="H131" s="12" t="s">
        <v>160</v>
      </c>
      <c r="I131" s="19" t="s">
        <v>12</v>
      </c>
      <c r="J131" s="17">
        <v>25.1</v>
      </c>
      <c r="K131" s="17">
        <v>10</v>
      </c>
      <c r="L131" s="17">
        <v>31.04</v>
      </c>
      <c r="M131" s="17">
        <v>388</v>
      </c>
      <c r="N131" s="17" t="e">
        <f>[1]!Tabelle1325[[#This Row],[Anzahl Frames]]/[1]!Tabelle1325[[#This Row],[Aufnahmezeit '[s']]]</f>
        <v>#VALUE!</v>
      </c>
      <c r="O131" s="25" t="e">
        <f>1/[1]!Tabelle1325[[#This Row],[Mean fps ]]</f>
        <v>#VALUE!</v>
      </c>
      <c r="P131" s="17"/>
      <c r="Q131" s="20"/>
      <c r="R131" s="21"/>
      <c r="S131" s="17">
        <v>1.7430000000000001</v>
      </c>
      <c r="T131" s="17">
        <v>1.375</v>
      </c>
      <c r="U131" s="17">
        <v>2.1659999999999999</v>
      </c>
      <c r="V131" s="17"/>
      <c r="W131" s="7">
        <f>SUM(S122:S131)/10</f>
        <v>1.8553999999999999</v>
      </c>
      <c r="X131" s="7">
        <f t="shared" ref="X131" si="24">SUM(T122:T131)/10</f>
        <v>1.5136999999999998</v>
      </c>
      <c r="Y131" s="7">
        <f t="shared" ref="Y131" si="25">SUM(U122:U131)/10</f>
        <v>2.0278</v>
      </c>
      <c r="Z131" s="17">
        <f>_xlfn.STDEV.S(S122:S131)</f>
        <v>0.17906063529182265</v>
      </c>
      <c r="AA131" s="17">
        <f>_xlfn.STDEV.S(T122:T131)</f>
        <v>0.1510805892378119</v>
      </c>
      <c r="AB131" s="17">
        <f>_xlfn.STDEV.S(U122:U131)</f>
        <v>0.12571290042526795</v>
      </c>
      <c r="AC131" s="17">
        <f>Tabelle1321011121517[[#This Row],[SD 1]]/Tabelle1321011121517[[#This Row],[Mean Visc. 1 '[mPas']]]</f>
        <v>9.6507834047549132E-2</v>
      </c>
      <c r="AD131" s="17">
        <f>Tabelle1321011121517[[#This Row],[SD 2]]/Tabelle1321011121517[[#This Row],[Mean Visc. 2 '[mPas']2]]</f>
        <v>9.9808805732847936E-2</v>
      </c>
      <c r="AE131" s="17">
        <f>Tabelle1321011121517[[#This Row],[SD 3]]/Tabelle1321011121517[[#This Row],[Mean Visc. 3 '[mPas']3]]</f>
        <v>6.1994723555216465E-2</v>
      </c>
    </row>
    <row r="132" spans="1:31" ht="15" thickTop="1" x14ac:dyDescent="0.3">
      <c r="A132">
        <v>131</v>
      </c>
      <c r="B132" s="4"/>
      <c r="C132" s="5"/>
      <c r="D132" s="7">
        <v>7</v>
      </c>
      <c r="E132" t="s">
        <v>165</v>
      </c>
      <c r="F132" t="s">
        <v>170</v>
      </c>
      <c r="G132" s="23"/>
      <c r="H132" s="12" t="s">
        <v>185</v>
      </c>
      <c r="I132" s="9" t="s">
        <v>12</v>
      </c>
      <c r="J132" s="7">
        <v>22</v>
      </c>
      <c r="K132" s="7">
        <v>10</v>
      </c>
      <c r="L132" s="7">
        <v>29.7</v>
      </c>
      <c r="M132" s="7">
        <v>375</v>
      </c>
      <c r="N132" s="7" t="e">
        <f>[1]!Tabelle1325[[#This Row],[Anzahl Frames]]/[1]!Tabelle1325[[#This Row],[Aufnahmezeit '[s']]]</f>
        <v>#VALUE!</v>
      </c>
      <c r="O132" s="6" t="e">
        <f>1/[1]!Tabelle1325[[#This Row],[Mean fps ]]</f>
        <v>#VALUE!</v>
      </c>
      <c r="S132" s="7">
        <v>1.853</v>
      </c>
      <c r="T132" s="7">
        <v>1.5529999999999999</v>
      </c>
      <c r="U132" s="7">
        <v>2.17</v>
      </c>
      <c r="V132" s="7"/>
      <c r="W132" s="7"/>
      <c r="X132" s="7"/>
      <c r="Y132" s="7"/>
      <c r="Z132" s="7"/>
      <c r="AA132" s="7"/>
      <c r="AB132" s="7"/>
      <c r="AC132" s="7" t="e">
        <f>Tabelle1321011121517[[#This Row],[SD 1]]/Tabelle1321011121517[[#This Row],[Mean Visc. 1 '[mPas']]]</f>
        <v>#DIV/0!</v>
      </c>
      <c r="AD132" s="7" t="e">
        <f>[1]!Tabelle1325[[#This Row],[SD 2]]/[1]!Tabelle1325[[#This Row],[Mean Visc. 2 '[mPas']2]]</f>
        <v>#VALUE!</v>
      </c>
      <c r="AE132" s="7" t="e">
        <f>[1]!Tabelle1325[[#This Row],[SD 3]]/[1]!Tabelle1325[[#This Row],[Mean Visc. 3 '[mPas']3]]</f>
        <v>#VALUE!</v>
      </c>
    </row>
    <row r="133" spans="1:31" x14ac:dyDescent="0.3">
      <c r="A133">
        <v>132</v>
      </c>
      <c r="B133" s="4"/>
      <c r="C133" s="5"/>
      <c r="D133" s="7">
        <v>7</v>
      </c>
      <c r="E133" t="s">
        <v>165</v>
      </c>
      <c r="F133" t="s">
        <v>170</v>
      </c>
      <c r="G133" s="23"/>
      <c r="H133" s="12" t="s">
        <v>185</v>
      </c>
      <c r="I133" s="9" t="s">
        <v>12</v>
      </c>
      <c r="J133" s="7">
        <v>22.2</v>
      </c>
      <c r="K133" s="7">
        <v>10</v>
      </c>
      <c r="L133" s="7">
        <v>30.88</v>
      </c>
      <c r="M133" s="7">
        <v>386</v>
      </c>
      <c r="N133" s="7" t="e">
        <f>[1]!Tabelle1325[[#This Row],[Anzahl Frames]]/[1]!Tabelle1325[[#This Row],[Aufnahmezeit '[s']]]</f>
        <v>#VALUE!</v>
      </c>
      <c r="O133" s="6" t="e">
        <f>1/[1]!Tabelle1325[[#This Row],[Mean fps ]]</f>
        <v>#VALUE!</v>
      </c>
      <c r="S133" s="7">
        <v>1.7310000000000001</v>
      </c>
      <c r="T133" s="7">
        <v>1.4570000000000001</v>
      </c>
      <c r="U133" s="7">
        <v>2.1349999999999998</v>
      </c>
      <c r="V133" s="7"/>
      <c r="W133" s="7"/>
      <c r="X133" s="7"/>
      <c r="Y133" s="7"/>
      <c r="Z133" s="7"/>
      <c r="AA133" s="7"/>
      <c r="AB133" s="7"/>
      <c r="AC133" s="7" t="e">
        <f>Tabelle1321011121517[[#This Row],[SD 1]]/Tabelle1321011121517[[#This Row],[Mean Visc. 1 '[mPas']]]</f>
        <v>#DIV/0!</v>
      </c>
      <c r="AD133" s="7" t="e">
        <f>[1]!Tabelle1325[[#This Row],[SD 2]]/[1]!Tabelle1325[[#This Row],[Mean Visc. 2 '[mPas']2]]</f>
        <v>#VALUE!</v>
      </c>
      <c r="AE133" s="7" t="e">
        <f>[1]!Tabelle1325[[#This Row],[SD 3]]/[1]!Tabelle1325[[#This Row],[Mean Visc. 3 '[mPas']3]]</f>
        <v>#VALUE!</v>
      </c>
    </row>
    <row r="134" spans="1:31" x14ac:dyDescent="0.3">
      <c r="A134">
        <v>133</v>
      </c>
      <c r="B134" s="4"/>
      <c r="C134" s="5"/>
      <c r="D134" s="7">
        <v>7</v>
      </c>
      <c r="E134" t="s">
        <v>165</v>
      </c>
      <c r="F134" t="s">
        <v>170</v>
      </c>
      <c r="G134" s="23"/>
      <c r="H134" s="12" t="s">
        <v>185</v>
      </c>
      <c r="I134" s="9" t="s">
        <v>12</v>
      </c>
      <c r="J134" s="7">
        <v>22.3</v>
      </c>
      <c r="K134" s="7">
        <v>10</v>
      </c>
      <c r="L134" s="7">
        <v>29.92</v>
      </c>
      <c r="M134" s="7">
        <v>375</v>
      </c>
      <c r="N134" s="7" t="e">
        <f>[1]!Tabelle1325[[#This Row],[Anzahl Frames]]/[1]!Tabelle1325[[#This Row],[Aufnahmezeit '[s']]]</f>
        <v>#VALUE!</v>
      </c>
      <c r="O134" s="6" t="e">
        <f>1/[1]!Tabelle1325[[#This Row],[Mean fps ]]</f>
        <v>#VALUE!</v>
      </c>
      <c r="S134" s="7">
        <v>2.294</v>
      </c>
      <c r="T134" s="7">
        <v>1.8620000000000001</v>
      </c>
      <c r="U134" s="7">
        <v>2.4369999999999998</v>
      </c>
      <c r="V134" s="7"/>
      <c r="W134" s="7"/>
      <c r="X134" s="7"/>
      <c r="Y134" s="7"/>
      <c r="Z134" s="7"/>
      <c r="AA134" s="7"/>
      <c r="AB134" s="7"/>
      <c r="AC134" s="7" t="e">
        <f>Tabelle1321011121517[[#This Row],[SD 1]]/Tabelle1321011121517[[#This Row],[Mean Visc. 1 '[mPas']]]</f>
        <v>#DIV/0!</v>
      </c>
      <c r="AD134" s="7" t="e">
        <f>[1]!Tabelle1325[[#This Row],[SD 2]]/[1]!Tabelle1325[[#This Row],[Mean Visc. 2 '[mPas']2]]</f>
        <v>#VALUE!</v>
      </c>
      <c r="AE134" s="7" t="e">
        <f>[1]!Tabelle1325[[#This Row],[SD 3]]/[1]!Tabelle1325[[#This Row],[Mean Visc. 3 '[mPas']3]]</f>
        <v>#VALUE!</v>
      </c>
    </row>
    <row r="135" spans="1:31" x14ac:dyDescent="0.3">
      <c r="A135">
        <v>134</v>
      </c>
      <c r="B135" s="4"/>
      <c r="C135" s="5"/>
      <c r="D135" s="7">
        <v>7</v>
      </c>
      <c r="E135" t="s">
        <v>165</v>
      </c>
      <c r="F135" t="s">
        <v>170</v>
      </c>
      <c r="G135" s="23"/>
      <c r="H135" s="12" t="s">
        <v>185</v>
      </c>
      <c r="I135" s="9" t="s">
        <v>12</v>
      </c>
      <c r="J135" s="7">
        <v>22.5</v>
      </c>
      <c r="K135" s="7">
        <v>10</v>
      </c>
      <c r="L135" s="7">
        <v>30</v>
      </c>
      <c r="M135" s="7">
        <v>375</v>
      </c>
      <c r="N135" s="7" t="e">
        <f>[1]!Tabelle1325[[#This Row],[Anzahl Frames]]/[1]!Tabelle1325[[#This Row],[Aufnahmezeit '[s']]]</f>
        <v>#VALUE!</v>
      </c>
      <c r="O135" s="6" t="e">
        <f>1/[1]!Tabelle1325[[#This Row],[Mean fps ]]</f>
        <v>#VALUE!</v>
      </c>
      <c r="S135" s="7">
        <v>1.649</v>
      </c>
      <c r="T135" s="7">
        <v>1.48</v>
      </c>
      <c r="U135" s="7">
        <v>2.0230000000000001</v>
      </c>
      <c r="V135" s="7"/>
      <c r="W135" s="7"/>
      <c r="X135" s="7"/>
      <c r="Y135" s="7"/>
      <c r="Z135" s="7"/>
      <c r="AA135" s="7"/>
      <c r="AB135" s="7"/>
      <c r="AC135" s="7" t="e">
        <f>Tabelle1321011121517[[#This Row],[SD 1]]/Tabelle1321011121517[[#This Row],[Mean Visc. 1 '[mPas']]]</f>
        <v>#DIV/0!</v>
      </c>
      <c r="AD135" s="7" t="e">
        <f>[1]!Tabelle1325[[#This Row],[SD 2]]/[1]!Tabelle1325[[#This Row],[Mean Visc. 2 '[mPas']2]]</f>
        <v>#VALUE!</v>
      </c>
      <c r="AE135" s="7" t="e">
        <f>[1]!Tabelle1325[[#This Row],[SD 3]]/[1]!Tabelle1325[[#This Row],[Mean Visc. 3 '[mPas']3]]</f>
        <v>#VALUE!</v>
      </c>
    </row>
    <row r="136" spans="1:31" s="14" customFormat="1" ht="15" thickBot="1" x14ac:dyDescent="0.35">
      <c r="A136">
        <v>135</v>
      </c>
      <c r="B136" s="15"/>
      <c r="C136" s="16"/>
      <c r="D136" s="17">
        <v>7</v>
      </c>
      <c r="E136" s="14" t="s">
        <v>165</v>
      </c>
      <c r="F136" s="14" t="s">
        <v>170</v>
      </c>
      <c r="G136" s="24"/>
      <c r="H136" s="12" t="s">
        <v>185</v>
      </c>
      <c r="I136" s="19" t="s">
        <v>12</v>
      </c>
      <c r="J136" s="17">
        <v>22.5</v>
      </c>
      <c r="K136" s="17">
        <v>10</v>
      </c>
      <c r="L136" s="17">
        <v>30.08</v>
      </c>
      <c r="M136" s="17">
        <v>377</v>
      </c>
      <c r="N136" s="17" t="e">
        <f>[1]!Tabelle1325[[#This Row],[Anzahl Frames]]/[1]!Tabelle1325[[#This Row],[Aufnahmezeit '[s']]]</f>
        <v>#VALUE!</v>
      </c>
      <c r="O136" s="25" t="e">
        <f>1/[1]!Tabelle1325[[#This Row],[Mean fps ]]</f>
        <v>#VALUE!</v>
      </c>
      <c r="P136" s="17"/>
      <c r="Q136" s="20"/>
      <c r="R136" s="21"/>
      <c r="S136" s="17">
        <v>2.028</v>
      </c>
      <c r="T136" s="17">
        <v>1.7549999999999999</v>
      </c>
      <c r="U136" s="17">
        <v>2.3340000000000001</v>
      </c>
      <c r="V136" s="17"/>
      <c r="W136" s="17"/>
      <c r="X136" s="17"/>
      <c r="Y136" s="17"/>
      <c r="Z136" s="17"/>
      <c r="AA136" s="17"/>
      <c r="AB136" s="17"/>
      <c r="AC136" s="17" t="e">
        <f>Tabelle1321011121517[[#This Row],[SD 1]]/Tabelle1321011121517[[#This Row],[Mean Visc. 1 '[mPas']]]</f>
        <v>#DIV/0!</v>
      </c>
      <c r="AD136" s="17" t="e">
        <f>[1]!Tabelle1325[[#This Row],[SD 2]]/[1]!Tabelle1325[[#This Row],[Mean Visc. 2 '[mPas']2]]</f>
        <v>#VALUE!</v>
      </c>
      <c r="AE136" s="17" t="e">
        <f>[1]!Tabelle1325[[#This Row],[SD 3]]/[1]!Tabelle1325[[#This Row],[Mean Visc. 3 '[mPas']3]]</f>
        <v>#VALUE!</v>
      </c>
    </row>
    <row r="137" spans="1:31" ht="15" thickTop="1" x14ac:dyDescent="0.3">
      <c r="A137">
        <v>136</v>
      </c>
      <c r="B137" s="4"/>
      <c r="C137" s="5"/>
      <c r="D137" s="7">
        <v>7</v>
      </c>
      <c r="E137" t="s">
        <v>165</v>
      </c>
      <c r="F137" t="s">
        <v>170</v>
      </c>
      <c r="G137" s="23"/>
      <c r="H137" s="12" t="s">
        <v>185</v>
      </c>
      <c r="I137" s="9" t="s">
        <v>12</v>
      </c>
      <c r="J137" s="7">
        <v>22.7</v>
      </c>
      <c r="K137" s="7">
        <v>10</v>
      </c>
      <c r="L137" s="7">
        <v>29.68</v>
      </c>
      <c r="M137" s="7">
        <v>372</v>
      </c>
      <c r="N137" s="7" t="e">
        <f>[1]!Tabelle1325[[#This Row],[Anzahl Frames]]/[1]!Tabelle1325[[#This Row],[Aufnahmezeit '[s']]]</f>
        <v>#VALUE!</v>
      </c>
      <c r="O137" s="6" t="e">
        <f>1/[1]!Tabelle1325[[#This Row],[Mean fps ]]</f>
        <v>#VALUE!</v>
      </c>
      <c r="S137" s="7">
        <v>2.1480000000000001</v>
      </c>
      <c r="T137" s="7">
        <v>1.897</v>
      </c>
      <c r="U137" s="7">
        <v>2.3639999999999999</v>
      </c>
      <c r="V137" s="7"/>
      <c r="W137" s="7"/>
      <c r="X137" s="7"/>
      <c r="Y137" s="7"/>
      <c r="Z137" s="7"/>
      <c r="AA137" s="7"/>
      <c r="AB137" s="7"/>
      <c r="AC137" s="7" t="e">
        <f>Tabelle1321011121517[[#This Row],[SD 1]]/Tabelle1321011121517[[#This Row],[Mean Visc. 1 '[mPas']]]</f>
        <v>#DIV/0!</v>
      </c>
      <c r="AD137" s="7" t="e">
        <f>[1]!Tabelle1325[[#This Row],[SD 2]]/[1]!Tabelle1325[[#This Row],[Mean Visc. 2 '[mPas']2]]</f>
        <v>#VALUE!</v>
      </c>
      <c r="AE137" s="7" t="e">
        <f>[1]!Tabelle1325[[#This Row],[SD 3]]/[1]!Tabelle1325[[#This Row],[Mean Visc. 3 '[mPas']3]]</f>
        <v>#VALUE!</v>
      </c>
    </row>
    <row r="138" spans="1:31" x14ac:dyDescent="0.3">
      <c r="A138">
        <v>137</v>
      </c>
      <c r="B138" s="4"/>
      <c r="C138" s="5"/>
      <c r="D138" s="7">
        <v>7</v>
      </c>
      <c r="E138" t="s">
        <v>165</v>
      </c>
      <c r="F138" t="s">
        <v>170</v>
      </c>
      <c r="G138" s="23"/>
      <c r="H138" s="12" t="s">
        <v>185</v>
      </c>
      <c r="I138" s="9" t="s">
        <v>12</v>
      </c>
      <c r="J138" s="7">
        <v>22.7</v>
      </c>
      <c r="K138" s="7">
        <v>10</v>
      </c>
      <c r="L138" s="7">
        <v>30.64</v>
      </c>
      <c r="M138" s="7">
        <v>383</v>
      </c>
      <c r="N138" s="7" t="e">
        <f>[1]!Tabelle1325[[#This Row],[Anzahl Frames]]/[1]!Tabelle1325[[#This Row],[Aufnahmezeit '[s']]]</f>
        <v>#VALUE!</v>
      </c>
      <c r="O138" s="6" t="e">
        <f>1/[1]!Tabelle1325[[#This Row],[Mean fps ]]</f>
        <v>#VALUE!</v>
      </c>
      <c r="S138" s="7">
        <v>1.972</v>
      </c>
      <c r="T138" s="7">
        <v>1.7490000000000001</v>
      </c>
      <c r="U138" s="7">
        <v>2.3570000000000002</v>
      </c>
      <c r="V138" s="7"/>
      <c r="W138" s="7"/>
      <c r="X138" s="7"/>
      <c r="Y138" s="7"/>
      <c r="Z138" s="7"/>
      <c r="AA138" s="7"/>
      <c r="AB138" s="7"/>
      <c r="AC138" s="7" t="e">
        <f>Tabelle1321011121517[[#This Row],[SD 1]]/Tabelle1321011121517[[#This Row],[Mean Visc. 1 '[mPas']]]</f>
        <v>#DIV/0!</v>
      </c>
      <c r="AD138" s="7" t="e">
        <f>[1]!Tabelle1325[[#This Row],[SD 2]]/[1]!Tabelle1325[[#This Row],[Mean Visc. 2 '[mPas']2]]</f>
        <v>#VALUE!</v>
      </c>
      <c r="AE138" s="7" t="e">
        <f>[1]!Tabelle1325[[#This Row],[SD 3]]/[1]!Tabelle1325[[#This Row],[Mean Visc. 3 '[mPas']3]]</f>
        <v>#VALUE!</v>
      </c>
    </row>
    <row r="139" spans="1:31" x14ac:dyDescent="0.3">
      <c r="A139">
        <v>138</v>
      </c>
      <c r="B139" s="4"/>
      <c r="C139" s="5"/>
      <c r="D139" s="7">
        <v>7</v>
      </c>
      <c r="E139" t="s">
        <v>165</v>
      </c>
      <c r="F139" t="s">
        <v>170</v>
      </c>
      <c r="G139" s="23"/>
      <c r="H139" s="12" t="s">
        <v>185</v>
      </c>
      <c r="I139" s="9" t="s">
        <v>12</v>
      </c>
      <c r="J139" s="7">
        <v>22.8</v>
      </c>
      <c r="K139" s="7">
        <v>10</v>
      </c>
      <c r="L139" s="7">
        <v>31.92</v>
      </c>
      <c r="M139" s="7">
        <v>399</v>
      </c>
      <c r="N139" s="7" t="e">
        <f>[1]!Tabelle1325[[#This Row],[Anzahl Frames]]/[1]!Tabelle1325[[#This Row],[Aufnahmezeit '[s']]]</f>
        <v>#VALUE!</v>
      </c>
      <c r="O139" s="6" t="e">
        <f>1/[1]!Tabelle1325[[#This Row],[Mean fps ]]</f>
        <v>#VALUE!</v>
      </c>
      <c r="S139" s="7">
        <v>1.8109999999999999</v>
      </c>
      <c r="T139" s="7">
        <v>1.5469999999999999</v>
      </c>
      <c r="U139" s="7">
        <v>2.2360000000000002</v>
      </c>
      <c r="V139" s="7"/>
      <c r="W139" s="7"/>
      <c r="X139" s="7"/>
      <c r="Y139" s="7"/>
      <c r="Z139" s="7"/>
      <c r="AA139" s="7"/>
      <c r="AB139" s="7"/>
      <c r="AC139" s="7" t="e">
        <f>Tabelle1321011121517[[#This Row],[SD 1]]/Tabelle1321011121517[[#This Row],[Mean Visc. 1 '[mPas']]]</f>
        <v>#DIV/0!</v>
      </c>
      <c r="AD139" s="7" t="e">
        <f>[1]!Tabelle1325[[#This Row],[SD 2]]/[1]!Tabelle1325[[#This Row],[Mean Visc. 2 '[mPas']2]]</f>
        <v>#VALUE!</v>
      </c>
      <c r="AE139" s="7" t="e">
        <f>[1]!Tabelle1325[[#This Row],[SD 3]]/[1]!Tabelle1325[[#This Row],[Mean Visc. 3 '[mPas']3]]</f>
        <v>#VALUE!</v>
      </c>
    </row>
    <row r="140" spans="1:31" x14ac:dyDescent="0.3">
      <c r="A140">
        <v>139</v>
      </c>
      <c r="B140" s="4"/>
      <c r="C140" s="5"/>
      <c r="D140" s="7">
        <v>7</v>
      </c>
      <c r="E140" t="s">
        <v>165</v>
      </c>
      <c r="F140" t="s">
        <v>170</v>
      </c>
      <c r="G140" s="23"/>
      <c r="H140" s="12" t="s">
        <v>185</v>
      </c>
      <c r="I140" s="9" t="s">
        <v>12</v>
      </c>
      <c r="J140" s="7">
        <v>22.9</v>
      </c>
      <c r="K140" s="7">
        <v>10</v>
      </c>
      <c r="L140" s="7">
        <v>30.48</v>
      </c>
      <c r="M140" s="7">
        <v>381</v>
      </c>
      <c r="N140" s="7" t="e">
        <f>[1]!Tabelle1325[[#This Row],[Anzahl Frames]]/[1]!Tabelle1325[[#This Row],[Aufnahmezeit '[s']]]</f>
        <v>#VALUE!</v>
      </c>
      <c r="O140" s="6" t="e">
        <f>1/[1]!Tabelle1325[[#This Row],[Mean fps ]]</f>
        <v>#VALUE!</v>
      </c>
      <c r="S140" s="7">
        <v>2.2650000000000001</v>
      </c>
      <c r="T140" s="7">
        <v>1.9259999999999999</v>
      </c>
      <c r="U140" s="7">
        <v>2.468</v>
      </c>
      <c r="V140" s="7"/>
      <c r="W140" s="7"/>
      <c r="X140" s="7"/>
      <c r="Y140" s="7"/>
      <c r="Z140" s="7"/>
      <c r="AA140" s="7"/>
      <c r="AB140" s="7"/>
      <c r="AC140" s="7" t="e">
        <f>Tabelle1321011121517[[#This Row],[SD 1]]/Tabelle1321011121517[[#This Row],[Mean Visc. 1 '[mPas']]]</f>
        <v>#DIV/0!</v>
      </c>
      <c r="AD140" s="7" t="e">
        <f>[1]!Tabelle1325[[#This Row],[SD 2]]/[1]!Tabelle1325[[#This Row],[Mean Visc. 2 '[mPas']2]]</f>
        <v>#VALUE!</v>
      </c>
      <c r="AE140" s="7" t="e">
        <f>[1]!Tabelle1325[[#This Row],[SD 3]]/[1]!Tabelle1325[[#This Row],[Mean Visc. 3 '[mPas']3]]</f>
        <v>#VALUE!</v>
      </c>
    </row>
    <row r="141" spans="1:31" s="14" customFormat="1" ht="15" thickBot="1" x14ac:dyDescent="0.35">
      <c r="A141">
        <v>140</v>
      </c>
      <c r="B141" s="15"/>
      <c r="C141" s="16"/>
      <c r="D141" s="17">
        <v>7</v>
      </c>
      <c r="E141" s="14" t="s">
        <v>165</v>
      </c>
      <c r="F141" s="14" t="s">
        <v>170</v>
      </c>
      <c r="G141" s="24"/>
      <c r="H141" s="12" t="s">
        <v>185</v>
      </c>
      <c r="I141" s="19" t="s">
        <v>12</v>
      </c>
      <c r="J141" s="17">
        <v>22.9</v>
      </c>
      <c r="K141" s="17">
        <v>10</v>
      </c>
      <c r="L141" s="17">
        <v>31.44</v>
      </c>
      <c r="M141" s="17">
        <v>393</v>
      </c>
      <c r="N141" s="17" t="e">
        <f>[1]!Tabelle1325[[#This Row],[Anzahl Frames]]/[1]!Tabelle1325[[#This Row],[Aufnahmezeit '[s']]]</f>
        <v>#VALUE!</v>
      </c>
      <c r="O141" s="25" t="e">
        <f>1/[1]!Tabelle1325[[#This Row],[Mean fps ]]</f>
        <v>#VALUE!</v>
      </c>
      <c r="P141" s="17"/>
      <c r="Q141" s="20"/>
      <c r="R141" s="21"/>
      <c r="S141" s="17">
        <v>1.849</v>
      </c>
      <c r="T141" s="17">
        <v>1.6739999999999999</v>
      </c>
      <c r="U141" s="17">
        <v>2.4089999999999998</v>
      </c>
      <c r="V141" s="17"/>
      <c r="W141" s="7">
        <f>SUM(S132:S141)/10</f>
        <v>1.9599999999999997</v>
      </c>
      <c r="X141" s="7">
        <f t="shared" ref="X141" si="26">SUM(T132:T141)/10</f>
        <v>1.6900000000000002</v>
      </c>
      <c r="Y141" s="7">
        <f t="shared" ref="Y141" si="27">SUM(U132:U141)/10</f>
        <v>2.2932999999999995</v>
      </c>
      <c r="Z141" s="17">
        <f>_xlfn.STDEV.S(S132:S141)</f>
        <v>0.22106459588897887</v>
      </c>
      <c r="AA141" s="17">
        <f>_xlfn.STDEV.S(T132:T141)</f>
        <v>0.17438718097638053</v>
      </c>
      <c r="AB141" s="17">
        <f>_xlfn.STDEV.S(U132:U141)</f>
        <v>0.1460122141009671</v>
      </c>
      <c r="AC141" s="17">
        <f>Tabelle1321011121517[[#This Row],[SD 1]]/Tabelle1321011121517[[#This Row],[Mean Visc. 1 '[mPas']]]</f>
        <v>0.11278805912703005</v>
      </c>
      <c r="AD141" s="17">
        <f>Tabelle1321011121517[[#This Row],[SD 2]]/Tabelle1321011121517[[#This Row],[Mean Visc. 2 '[mPas']2]]</f>
        <v>0.10318768105111273</v>
      </c>
      <c r="AE141" s="17">
        <f>Tabelle1321011121517[[#This Row],[SD 3]]/Tabelle1321011121517[[#This Row],[Mean Visc. 3 '[mPas']3]]</f>
        <v>6.3669042035916418E-2</v>
      </c>
    </row>
    <row r="142" spans="1:31" ht="15" thickTop="1" x14ac:dyDescent="0.3">
      <c r="A142">
        <v>141</v>
      </c>
      <c r="B142" s="4"/>
      <c r="C142" s="5"/>
      <c r="D142" s="7">
        <v>8</v>
      </c>
      <c r="E142" t="s">
        <v>182</v>
      </c>
      <c r="F142" t="s">
        <v>190</v>
      </c>
      <c r="G142" s="23"/>
      <c r="H142" s="11" t="s">
        <v>160</v>
      </c>
      <c r="I142" s="9" t="s">
        <v>12</v>
      </c>
      <c r="J142" s="7">
        <v>23.9</v>
      </c>
      <c r="K142" s="7">
        <v>22</v>
      </c>
      <c r="L142" s="7">
        <v>30.4</v>
      </c>
      <c r="M142" s="7">
        <v>380</v>
      </c>
      <c r="N142" s="7" t="e">
        <f>[1]!Tabelle1325[[#This Row],[Anzahl Frames]]/[1]!Tabelle1325[[#This Row],[Aufnahmezeit '[s']]]</f>
        <v>#VALUE!</v>
      </c>
      <c r="O142" s="6" t="e">
        <f>1/[1]!Tabelle1325[[#This Row],[Mean fps ]]</f>
        <v>#VALUE!</v>
      </c>
      <c r="P142" s="7">
        <v>40</v>
      </c>
      <c r="S142" s="7">
        <v>5.1349999999999998</v>
      </c>
      <c r="T142" s="7">
        <v>3.8039999999999998</v>
      </c>
      <c r="U142" s="7">
        <v>3.9350000000000001</v>
      </c>
      <c r="V142" s="7"/>
      <c r="W142" s="7"/>
      <c r="X142" s="7"/>
      <c r="Y142" s="7"/>
      <c r="Z142" s="7"/>
      <c r="AA142" s="7"/>
      <c r="AB142" s="7"/>
      <c r="AC142" s="7" t="e">
        <f>Tabelle1321011121517[[#This Row],[SD 1]]/Tabelle1321011121517[[#This Row],[Mean Visc. 1 '[mPas']]]</f>
        <v>#DIV/0!</v>
      </c>
      <c r="AD142" s="7" t="e">
        <f>[1]!Tabelle1325[[#This Row],[SD 2]]/[1]!Tabelle1325[[#This Row],[Mean Visc. 2 '[mPas']2]]</f>
        <v>#VALUE!</v>
      </c>
      <c r="AE142" s="7" t="e">
        <f>[1]!Tabelle1325[[#This Row],[SD 3]]/[1]!Tabelle1325[[#This Row],[Mean Visc. 3 '[mPas']3]]</f>
        <v>#VALUE!</v>
      </c>
    </row>
    <row r="143" spans="1:31" x14ac:dyDescent="0.3">
      <c r="A143">
        <v>142</v>
      </c>
      <c r="B143" s="4"/>
      <c r="C143" s="5"/>
      <c r="D143" s="7">
        <v>8</v>
      </c>
      <c r="E143" t="s">
        <v>182</v>
      </c>
      <c r="F143" t="s">
        <v>190</v>
      </c>
      <c r="G143" s="23"/>
      <c r="H143" s="11" t="s">
        <v>160</v>
      </c>
      <c r="I143" s="9" t="s">
        <v>12</v>
      </c>
      <c r="J143" s="7">
        <v>24</v>
      </c>
      <c r="K143" s="7">
        <v>22</v>
      </c>
      <c r="L143" s="7">
        <v>30.88</v>
      </c>
      <c r="M143" s="7">
        <v>387</v>
      </c>
      <c r="N143" s="7" t="e">
        <f>[1]!Tabelle1325[[#This Row],[Anzahl Frames]]/[1]!Tabelle1325[[#This Row],[Aufnahmezeit '[s']]]</f>
        <v>#VALUE!</v>
      </c>
      <c r="O143" s="6" t="e">
        <f>1/[1]!Tabelle1325[[#This Row],[Mean fps ]]</f>
        <v>#VALUE!</v>
      </c>
      <c r="P143" s="7">
        <v>40</v>
      </c>
      <c r="S143" s="7">
        <v>4.1029999999999998</v>
      </c>
      <c r="T143" s="7">
        <v>3.47</v>
      </c>
      <c r="U143" s="7">
        <v>3.577</v>
      </c>
      <c r="V143" s="7"/>
      <c r="W143" s="7"/>
      <c r="X143" s="7"/>
      <c r="Y143" s="7"/>
      <c r="Z143" s="7"/>
      <c r="AA143" s="7"/>
      <c r="AB143" s="7"/>
      <c r="AC143" s="7" t="e">
        <f>Tabelle1321011121517[[#This Row],[SD 1]]/Tabelle1321011121517[[#This Row],[Mean Visc. 1 '[mPas']]]</f>
        <v>#DIV/0!</v>
      </c>
      <c r="AD143" s="7" t="e">
        <f>[1]!Tabelle1325[[#This Row],[SD 2]]/[1]!Tabelle1325[[#This Row],[Mean Visc. 2 '[mPas']2]]</f>
        <v>#VALUE!</v>
      </c>
      <c r="AE143" s="7" t="e">
        <f>[1]!Tabelle1325[[#This Row],[SD 3]]/[1]!Tabelle1325[[#This Row],[Mean Visc. 3 '[mPas']3]]</f>
        <v>#VALUE!</v>
      </c>
    </row>
    <row r="144" spans="1:31" x14ac:dyDescent="0.3">
      <c r="A144">
        <v>143</v>
      </c>
      <c r="B144" s="4"/>
      <c r="C144" s="5"/>
      <c r="D144" s="7">
        <v>8</v>
      </c>
      <c r="E144" t="s">
        <v>182</v>
      </c>
      <c r="F144" t="s">
        <v>190</v>
      </c>
      <c r="G144" s="23"/>
      <c r="H144" s="11" t="s">
        <v>160</v>
      </c>
      <c r="I144" s="9" t="s">
        <v>12</v>
      </c>
      <c r="J144" s="7">
        <v>24</v>
      </c>
      <c r="K144" s="7">
        <v>22</v>
      </c>
      <c r="L144" s="7">
        <v>30.45</v>
      </c>
      <c r="M144" s="7">
        <v>380</v>
      </c>
      <c r="N144" s="7" t="e">
        <f>[1]!Tabelle1325[[#This Row],[Anzahl Frames]]/[1]!Tabelle1325[[#This Row],[Aufnahmezeit '[s']]]</f>
        <v>#VALUE!</v>
      </c>
      <c r="O144" s="6" t="e">
        <f>1/[1]!Tabelle1325[[#This Row],[Mean fps ]]</f>
        <v>#VALUE!</v>
      </c>
      <c r="P144" s="7">
        <v>40</v>
      </c>
      <c r="S144" s="7">
        <v>4.4219999999999997</v>
      </c>
      <c r="T144" s="7">
        <v>3.2949999999999999</v>
      </c>
      <c r="U144" s="7">
        <v>3.8839999999999999</v>
      </c>
      <c r="V144" s="7"/>
      <c r="W144" s="7"/>
      <c r="X144" s="7"/>
      <c r="Y144" s="7"/>
      <c r="Z144" s="7"/>
      <c r="AA144" s="7"/>
      <c r="AB144" s="7"/>
      <c r="AC144" s="7" t="e">
        <f>Tabelle1321011121517[[#This Row],[SD 1]]/Tabelle1321011121517[[#This Row],[Mean Visc. 1 '[mPas']]]</f>
        <v>#DIV/0!</v>
      </c>
      <c r="AD144" s="7" t="e">
        <f>[1]!Tabelle1325[[#This Row],[SD 2]]/[1]!Tabelle1325[[#This Row],[Mean Visc. 2 '[mPas']2]]</f>
        <v>#VALUE!</v>
      </c>
      <c r="AE144" s="7" t="e">
        <f>[1]!Tabelle1325[[#This Row],[SD 3]]/[1]!Tabelle1325[[#This Row],[Mean Visc. 3 '[mPas']3]]</f>
        <v>#VALUE!</v>
      </c>
    </row>
    <row r="145" spans="1:31" x14ac:dyDescent="0.3">
      <c r="A145">
        <v>144</v>
      </c>
      <c r="B145" s="4"/>
      <c r="C145" s="5"/>
      <c r="D145" s="7">
        <v>8</v>
      </c>
      <c r="E145" t="s">
        <v>182</v>
      </c>
      <c r="F145" t="s">
        <v>190</v>
      </c>
      <c r="G145" s="23"/>
      <c r="H145" s="11" t="s">
        <v>160</v>
      </c>
      <c r="I145" s="9" t="s">
        <v>12</v>
      </c>
      <c r="J145" s="7">
        <v>24.1</v>
      </c>
      <c r="K145" s="7">
        <v>22</v>
      </c>
      <c r="L145" s="7">
        <v>30.34</v>
      </c>
      <c r="M145" s="7">
        <v>379</v>
      </c>
      <c r="N145" s="7" t="e">
        <f>[1]!Tabelle1325[[#This Row],[Anzahl Frames]]/[1]!Tabelle1325[[#This Row],[Aufnahmezeit '[s']]]</f>
        <v>#VALUE!</v>
      </c>
      <c r="O145" s="6" t="e">
        <f>1/[1]!Tabelle1325[[#This Row],[Mean fps ]]</f>
        <v>#VALUE!</v>
      </c>
      <c r="P145" s="7">
        <v>40</v>
      </c>
      <c r="S145" s="7">
        <v>4.1289999999999996</v>
      </c>
      <c r="T145" s="7">
        <v>3.2480000000000002</v>
      </c>
      <c r="U145" s="7">
        <v>3.8660000000000001</v>
      </c>
      <c r="V145" s="7"/>
      <c r="W145" s="7"/>
      <c r="X145" s="7"/>
      <c r="Y145" s="7"/>
      <c r="Z145" s="7"/>
      <c r="AA145" s="7"/>
      <c r="AB145" s="7"/>
      <c r="AC145" s="7" t="e">
        <f>Tabelle1321011121517[[#This Row],[SD 1]]/Tabelle1321011121517[[#This Row],[Mean Visc. 1 '[mPas']]]</f>
        <v>#DIV/0!</v>
      </c>
      <c r="AD145" s="7" t="e">
        <f>[1]!Tabelle1325[[#This Row],[SD 2]]/[1]!Tabelle1325[[#This Row],[Mean Visc. 2 '[mPas']2]]</f>
        <v>#VALUE!</v>
      </c>
      <c r="AE145" s="7" t="e">
        <f>[1]!Tabelle1325[[#This Row],[SD 3]]/[1]!Tabelle1325[[#This Row],[Mean Visc. 3 '[mPas']3]]</f>
        <v>#VALUE!</v>
      </c>
    </row>
    <row r="146" spans="1:31" ht="15" thickBot="1" x14ac:dyDescent="0.35">
      <c r="A146">
        <v>145</v>
      </c>
      <c r="B146" s="15"/>
      <c r="C146" s="16"/>
      <c r="D146" s="7">
        <v>8</v>
      </c>
      <c r="E146" t="s">
        <v>182</v>
      </c>
      <c r="F146" t="s">
        <v>190</v>
      </c>
      <c r="G146" s="24"/>
      <c r="H146" s="11" t="s">
        <v>160</v>
      </c>
      <c r="I146" s="9" t="s">
        <v>12</v>
      </c>
      <c r="J146" s="17">
        <v>24.2</v>
      </c>
      <c r="K146" s="17">
        <v>22</v>
      </c>
      <c r="L146" s="17">
        <v>33.79</v>
      </c>
      <c r="M146" s="17">
        <v>422</v>
      </c>
      <c r="N146" s="17" t="e">
        <f>[1]!Tabelle1325[[#This Row],[Anzahl Frames]]/[1]!Tabelle1325[[#This Row],[Aufnahmezeit '[s']]]</f>
        <v>#VALUE!</v>
      </c>
      <c r="O146" s="25" t="e">
        <f>1/[1]!Tabelle1325[[#This Row],[Mean fps ]]</f>
        <v>#VALUE!</v>
      </c>
      <c r="P146" s="17">
        <v>40</v>
      </c>
      <c r="Q146" s="20"/>
      <c r="R146" s="21"/>
      <c r="S146" s="17">
        <v>4.3789999999999996</v>
      </c>
      <c r="T146" s="17">
        <v>3.8559999999999999</v>
      </c>
      <c r="U146" s="17">
        <v>3.8370000000000002</v>
      </c>
      <c r="V146" s="17"/>
      <c r="W146" s="17"/>
      <c r="X146" s="17"/>
      <c r="Y146" s="17"/>
      <c r="Z146" s="7"/>
      <c r="AA146" s="7"/>
      <c r="AB146" s="7"/>
      <c r="AC146" s="7" t="e">
        <f>Tabelle1321011121517[[#This Row],[SD 1]]/Tabelle1321011121517[[#This Row],[Mean Visc. 1 '[mPas']]]</f>
        <v>#DIV/0!</v>
      </c>
      <c r="AD146" s="7" t="e">
        <f>[1]!Tabelle1325[[#This Row],[SD 2]]/[1]!Tabelle1325[[#This Row],[Mean Visc. 2 '[mPas']2]]</f>
        <v>#VALUE!</v>
      </c>
      <c r="AE146" s="7" t="e">
        <f>[1]!Tabelle1325[[#This Row],[SD 3]]/[1]!Tabelle1325[[#This Row],[Mean Visc. 3 '[mPas']3]]</f>
        <v>#VALUE!</v>
      </c>
    </row>
    <row r="147" spans="1:31" ht="15" thickTop="1" x14ac:dyDescent="0.3">
      <c r="A147">
        <v>146</v>
      </c>
      <c r="B147" s="4"/>
      <c r="C147" s="5"/>
      <c r="D147" s="7">
        <v>8</v>
      </c>
      <c r="E147" t="s">
        <v>182</v>
      </c>
      <c r="F147" t="s">
        <v>190</v>
      </c>
      <c r="G147" s="23"/>
      <c r="H147" s="11" t="s">
        <v>160</v>
      </c>
      <c r="I147" s="9" t="s">
        <v>12</v>
      </c>
      <c r="J147" s="7">
        <v>24.3</v>
      </c>
      <c r="K147" s="7">
        <v>22</v>
      </c>
      <c r="L147" s="7">
        <v>30.63</v>
      </c>
      <c r="M147" s="7">
        <v>383</v>
      </c>
      <c r="N147" s="7" t="e">
        <f>[1]!Tabelle1325[[#This Row],[Anzahl Frames]]/[1]!Tabelle1325[[#This Row],[Aufnahmezeit '[s']]]</f>
        <v>#VALUE!</v>
      </c>
      <c r="O147" s="6" t="e">
        <f>1/[1]!Tabelle1325[[#This Row],[Mean fps ]]</f>
        <v>#VALUE!</v>
      </c>
      <c r="P147" s="7">
        <v>40</v>
      </c>
      <c r="S147" s="7">
        <v>4.4829999999999997</v>
      </c>
      <c r="T147" s="7">
        <v>3.4540000000000002</v>
      </c>
      <c r="U147" s="7">
        <v>3.6989999999999998</v>
      </c>
      <c r="V147" s="7"/>
      <c r="W147" s="7"/>
      <c r="X147" s="7"/>
      <c r="Y147" s="7"/>
      <c r="Z147" s="7"/>
      <c r="AA147" s="7"/>
      <c r="AB147" s="7"/>
      <c r="AC147" s="7" t="e">
        <f>Tabelle1321011121517[[#This Row],[SD 1]]/Tabelle1321011121517[[#This Row],[Mean Visc. 1 '[mPas']]]</f>
        <v>#DIV/0!</v>
      </c>
      <c r="AD147" s="7" t="e">
        <f>[1]!Tabelle1325[[#This Row],[SD 2]]/[1]!Tabelle1325[[#This Row],[Mean Visc. 2 '[mPas']2]]</f>
        <v>#VALUE!</v>
      </c>
      <c r="AE147" s="7" t="e">
        <f>[1]!Tabelle1325[[#This Row],[SD 3]]/[1]!Tabelle1325[[#This Row],[Mean Visc. 3 '[mPas']3]]</f>
        <v>#VALUE!</v>
      </c>
    </row>
    <row r="148" spans="1:31" x14ac:dyDescent="0.3">
      <c r="A148">
        <v>147</v>
      </c>
      <c r="B148" s="4"/>
      <c r="C148" s="5"/>
      <c r="D148" s="7">
        <v>8</v>
      </c>
      <c r="E148" t="s">
        <v>182</v>
      </c>
      <c r="F148" t="s">
        <v>190</v>
      </c>
      <c r="G148" s="23"/>
      <c r="H148" s="11" t="s">
        <v>160</v>
      </c>
      <c r="I148" s="9" t="s">
        <v>12</v>
      </c>
      <c r="J148" s="7">
        <v>24.4</v>
      </c>
      <c r="K148" s="7">
        <v>22</v>
      </c>
      <c r="L148" s="7">
        <v>32.72</v>
      </c>
      <c r="M148" s="7">
        <v>409</v>
      </c>
      <c r="N148" s="7" t="e">
        <f>[1]!Tabelle1325[[#This Row],[Anzahl Frames]]/[1]!Tabelle1325[[#This Row],[Aufnahmezeit '[s']]]</f>
        <v>#VALUE!</v>
      </c>
      <c r="O148" s="6" t="e">
        <f>1/[1]!Tabelle1325[[#This Row],[Mean fps ]]</f>
        <v>#VALUE!</v>
      </c>
      <c r="P148" s="7">
        <v>40</v>
      </c>
      <c r="S148" s="7">
        <v>4.2610000000000001</v>
      </c>
      <c r="T148" s="7">
        <v>3.1840000000000002</v>
      </c>
      <c r="U148" s="7">
        <v>3.6309999999999998</v>
      </c>
      <c r="V148" s="7"/>
      <c r="W148" s="7"/>
      <c r="X148" s="7"/>
      <c r="Y148" s="7"/>
      <c r="Z148" s="7"/>
      <c r="AA148" s="7"/>
      <c r="AB148" s="7"/>
      <c r="AC148" s="7" t="e">
        <f>Tabelle1321011121517[[#This Row],[SD 1]]/Tabelle1321011121517[[#This Row],[Mean Visc. 1 '[mPas']]]</f>
        <v>#DIV/0!</v>
      </c>
      <c r="AD148" s="7" t="e">
        <f>[1]!Tabelle1325[[#This Row],[SD 2]]/[1]!Tabelle1325[[#This Row],[Mean Visc. 2 '[mPas']2]]</f>
        <v>#VALUE!</v>
      </c>
      <c r="AE148" s="7" t="e">
        <f>[1]!Tabelle1325[[#This Row],[SD 3]]/[1]!Tabelle1325[[#This Row],[Mean Visc. 3 '[mPas']3]]</f>
        <v>#VALUE!</v>
      </c>
    </row>
    <row r="149" spans="1:31" x14ac:dyDescent="0.3">
      <c r="A149">
        <v>148</v>
      </c>
      <c r="B149" s="4"/>
      <c r="C149" s="5"/>
      <c r="D149" s="7">
        <v>8</v>
      </c>
      <c r="E149" t="s">
        <v>182</v>
      </c>
      <c r="F149" t="s">
        <v>190</v>
      </c>
      <c r="G149" s="23"/>
      <c r="H149" s="11" t="s">
        <v>160</v>
      </c>
      <c r="I149" s="9" t="s">
        <v>12</v>
      </c>
      <c r="J149" s="7">
        <v>24.5</v>
      </c>
      <c r="K149" s="7">
        <v>22</v>
      </c>
      <c r="L149" s="7">
        <v>383</v>
      </c>
      <c r="M149" s="7">
        <v>30.64</v>
      </c>
      <c r="N149" s="7" t="e">
        <f>[1]!Tabelle1325[[#This Row],[Anzahl Frames]]/[1]!Tabelle1325[[#This Row],[Aufnahmezeit '[s']]]</f>
        <v>#VALUE!</v>
      </c>
      <c r="O149" s="6" t="e">
        <f>1/[1]!Tabelle1325[[#This Row],[Mean fps ]]</f>
        <v>#VALUE!</v>
      </c>
      <c r="P149" s="7">
        <v>40</v>
      </c>
      <c r="S149" s="7">
        <v>4.62</v>
      </c>
      <c r="T149" s="7">
        <v>3.5169999999999999</v>
      </c>
      <c r="U149" s="7">
        <v>4.04</v>
      </c>
      <c r="V149" s="7"/>
      <c r="W149" s="7"/>
      <c r="X149" s="7"/>
      <c r="Y149" s="7"/>
      <c r="Z149" s="7"/>
      <c r="AA149" s="7"/>
      <c r="AB149" s="7"/>
      <c r="AC149" s="7" t="e">
        <f>Tabelle1321011121517[[#This Row],[SD 1]]/Tabelle1321011121517[[#This Row],[Mean Visc. 1 '[mPas']]]</f>
        <v>#DIV/0!</v>
      </c>
      <c r="AD149" s="7" t="e">
        <f>[1]!Tabelle1325[[#This Row],[SD 2]]/[1]!Tabelle1325[[#This Row],[Mean Visc. 2 '[mPas']2]]</f>
        <v>#VALUE!</v>
      </c>
      <c r="AE149" s="7" t="e">
        <f>[1]!Tabelle1325[[#This Row],[SD 3]]/[1]!Tabelle1325[[#This Row],[Mean Visc. 3 '[mPas']3]]</f>
        <v>#VALUE!</v>
      </c>
    </row>
    <row r="150" spans="1:31" x14ac:dyDescent="0.3">
      <c r="A150">
        <v>149</v>
      </c>
      <c r="B150" s="4"/>
      <c r="C150" s="5"/>
      <c r="D150" s="7">
        <v>8</v>
      </c>
      <c r="E150" t="s">
        <v>182</v>
      </c>
      <c r="F150" t="s">
        <v>190</v>
      </c>
      <c r="G150" s="23"/>
      <c r="H150" s="11" t="s">
        <v>160</v>
      </c>
      <c r="I150" s="9" t="s">
        <v>12</v>
      </c>
      <c r="J150" s="7">
        <v>24.5</v>
      </c>
      <c r="K150" s="7">
        <v>22</v>
      </c>
      <c r="L150" s="7">
        <v>32.08</v>
      </c>
      <c r="M150" s="7">
        <v>401</v>
      </c>
      <c r="N150" s="7" t="e">
        <f>[1]!Tabelle1325[[#This Row],[Anzahl Frames]]/[1]!Tabelle1325[[#This Row],[Aufnahmezeit '[s']]]</f>
        <v>#VALUE!</v>
      </c>
      <c r="O150" s="6" t="e">
        <f>1/[1]!Tabelle1325[[#This Row],[Mean fps ]]</f>
        <v>#VALUE!</v>
      </c>
      <c r="P150" s="7">
        <v>40</v>
      </c>
      <c r="S150" s="7">
        <v>3.9860000000000002</v>
      </c>
      <c r="T150" s="7">
        <v>3.1469999999999998</v>
      </c>
      <c r="U150" s="7">
        <v>2.988</v>
      </c>
      <c r="V150" s="7"/>
      <c r="W150" s="7"/>
      <c r="X150" s="7"/>
      <c r="Y150" s="7"/>
      <c r="Z150" s="7"/>
      <c r="AA150" s="7"/>
      <c r="AB150" s="7"/>
      <c r="AC150" s="7" t="e">
        <f>Tabelle1321011121517[[#This Row],[SD 1]]/Tabelle1321011121517[[#This Row],[Mean Visc. 1 '[mPas']]]</f>
        <v>#DIV/0!</v>
      </c>
      <c r="AD150" s="7" t="e">
        <f>[1]!Tabelle1325[[#This Row],[SD 2]]/[1]!Tabelle1325[[#This Row],[Mean Visc. 2 '[mPas']2]]</f>
        <v>#VALUE!</v>
      </c>
      <c r="AE150" s="7" t="e">
        <f>[1]!Tabelle1325[[#This Row],[SD 3]]/[1]!Tabelle1325[[#This Row],[Mean Visc. 3 '[mPas']3]]</f>
        <v>#VALUE!</v>
      </c>
    </row>
    <row r="151" spans="1:31" ht="15" thickBot="1" x14ac:dyDescent="0.35">
      <c r="A151">
        <v>150</v>
      </c>
      <c r="B151" s="15"/>
      <c r="C151" s="16"/>
      <c r="D151" s="7">
        <v>8</v>
      </c>
      <c r="E151" t="s">
        <v>182</v>
      </c>
      <c r="F151" t="s">
        <v>190</v>
      </c>
      <c r="G151" s="24"/>
      <c r="H151" s="11" t="s">
        <v>160</v>
      </c>
      <c r="I151" s="9" t="s">
        <v>12</v>
      </c>
      <c r="J151" s="17">
        <v>24.6</v>
      </c>
      <c r="K151" s="17">
        <v>22</v>
      </c>
      <c r="L151" s="17">
        <v>31.12</v>
      </c>
      <c r="M151" s="17">
        <v>389</v>
      </c>
      <c r="N151" s="17" t="e">
        <f>[1]!Tabelle1325[[#This Row],[Anzahl Frames]]/[1]!Tabelle1325[[#This Row],[Aufnahmezeit '[s']]]</f>
        <v>#VALUE!</v>
      </c>
      <c r="O151" s="25" t="e">
        <f>1/[1]!Tabelle1325[[#This Row],[Mean fps ]]</f>
        <v>#VALUE!</v>
      </c>
      <c r="P151" s="17">
        <v>40</v>
      </c>
      <c r="Q151" s="20"/>
      <c r="R151" s="21"/>
      <c r="S151" s="17">
        <v>4.45</v>
      </c>
      <c r="T151" s="17">
        <v>3.5510000000000002</v>
      </c>
      <c r="U151" s="17">
        <v>3.786</v>
      </c>
      <c r="V151" s="17"/>
      <c r="W151" s="7">
        <f>SUM(S142:S151)/10</f>
        <v>4.3967999999999998</v>
      </c>
      <c r="X151" s="7">
        <f t="shared" ref="X151" si="28">SUM(T142:T151)/10</f>
        <v>3.4526000000000003</v>
      </c>
      <c r="Y151" s="7">
        <f t="shared" ref="Y151" si="29">SUM(U142:U151)/10</f>
        <v>3.7243000000000004</v>
      </c>
      <c r="Z151" s="7"/>
      <c r="AA151" s="7"/>
      <c r="AB151" s="7"/>
      <c r="AC151" s="7">
        <f>Tabelle1321011121517[[#This Row],[SD 1]]/Tabelle1321011121517[[#This Row],[Mean Visc. 1 '[mPas']]]</f>
        <v>0</v>
      </c>
      <c r="AD151" s="7" t="e">
        <f>[1]!Tabelle1325[[#This Row],[SD 2]]/[1]!Tabelle1325[[#This Row],[Mean Visc. 2 '[mPas']2]]</f>
        <v>#VALUE!</v>
      </c>
      <c r="AE151" s="7" t="e">
        <f>[1]!Tabelle1325[[#This Row],[SD 3]]/[1]!Tabelle1325[[#This Row],[Mean Visc. 3 '[mPas']3]]</f>
        <v>#VALUE!</v>
      </c>
    </row>
    <row r="152" spans="1:31" ht="15" thickTop="1" x14ac:dyDescent="0.3">
      <c r="A152">
        <v>151</v>
      </c>
      <c r="B152" s="4"/>
      <c r="C152" s="5"/>
      <c r="D152" s="7">
        <v>8</v>
      </c>
      <c r="E152" t="s">
        <v>182</v>
      </c>
      <c r="F152" t="s">
        <v>191</v>
      </c>
      <c r="G152" s="23"/>
      <c r="H152" s="11" t="s">
        <v>185</v>
      </c>
      <c r="I152" s="9" t="s">
        <v>12</v>
      </c>
      <c r="J152" s="7">
        <v>23.1</v>
      </c>
      <c r="K152" s="7">
        <v>19</v>
      </c>
      <c r="L152" s="7">
        <v>29.32</v>
      </c>
      <c r="M152" s="7">
        <v>371</v>
      </c>
      <c r="N152" s="7" t="e">
        <f>[1]!Tabelle1325[[#This Row],[Anzahl Frames]]/[1]!Tabelle1325[[#This Row],[Aufnahmezeit '[s']]]</f>
        <v>#VALUE!</v>
      </c>
      <c r="O152" s="6" t="e">
        <f>1/[1]!Tabelle1325[[#This Row],[Mean fps ]]</f>
        <v>#VALUE!</v>
      </c>
      <c r="P152" s="7">
        <v>40</v>
      </c>
      <c r="S152" s="7">
        <v>4.0129999999999999</v>
      </c>
      <c r="T152" s="7">
        <v>3.1469999999999998</v>
      </c>
      <c r="U152" s="7">
        <v>3.8380000000000001</v>
      </c>
      <c r="V152" s="7"/>
      <c r="W152" s="7"/>
      <c r="X152" s="7"/>
      <c r="Y152" s="7"/>
      <c r="Z152" s="7"/>
      <c r="AA152" s="7"/>
      <c r="AB152" s="7"/>
      <c r="AC152" s="7" t="e">
        <f>Tabelle1321011121517[[#This Row],[SD 1]]/Tabelle1321011121517[[#This Row],[Mean Visc. 1 '[mPas']]]</f>
        <v>#DIV/0!</v>
      </c>
      <c r="AD152" s="7" t="e">
        <f>[1]!Tabelle1325[[#This Row],[SD 2]]/[1]!Tabelle1325[[#This Row],[Mean Visc. 2 '[mPas']2]]</f>
        <v>#VALUE!</v>
      </c>
      <c r="AE152" s="7" t="e">
        <f>[1]!Tabelle1325[[#This Row],[SD 3]]/[1]!Tabelle1325[[#This Row],[Mean Visc. 3 '[mPas']3]]</f>
        <v>#VALUE!</v>
      </c>
    </row>
    <row r="153" spans="1:31" x14ac:dyDescent="0.3">
      <c r="A153">
        <v>152</v>
      </c>
      <c r="B153" s="4"/>
      <c r="C153" s="5"/>
      <c r="D153" s="7">
        <v>8</v>
      </c>
      <c r="E153" t="s">
        <v>182</v>
      </c>
      <c r="F153" t="s">
        <v>191</v>
      </c>
      <c r="G153" s="23"/>
      <c r="H153" s="11" t="s">
        <v>185</v>
      </c>
      <c r="I153" s="9" t="s">
        <v>12</v>
      </c>
      <c r="J153" s="7">
        <v>23</v>
      </c>
      <c r="K153" s="7">
        <v>19</v>
      </c>
      <c r="L153" s="7">
        <v>31.52</v>
      </c>
      <c r="M153" s="7">
        <v>394</v>
      </c>
      <c r="N153" s="7" t="e">
        <f>[1]!Tabelle1325[[#This Row],[Anzahl Frames]]/[1]!Tabelle1325[[#This Row],[Aufnahmezeit '[s']]]</f>
        <v>#VALUE!</v>
      </c>
      <c r="O153" s="6" t="e">
        <f>1/[1]!Tabelle1325[[#This Row],[Mean fps ]]</f>
        <v>#VALUE!</v>
      </c>
      <c r="P153" s="7">
        <v>40</v>
      </c>
      <c r="S153" s="7">
        <v>3.8260000000000001</v>
      </c>
      <c r="T153" s="7">
        <v>2.948</v>
      </c>
      <c r="U153" s="7">
        <v>3.7229999999999999</v>
      </c>
      <c r="V153" s="7"/>
      <c r="W153" s="7"/>
      <c r="X153" s="7"/>
      <c r="Y153" s="7"/>
      <c r="Z153" s="7"/>
      <c r="AA153" s="7"/>
      <c r="AB153" s="7"/>
      <c r="AC153" s="7" t="e">
        <f>Tabelle1321011121517[[#This Row],[SD 1]]/Tabelle1321011121517[[#This Row],[Mean Visc. 1 '[mPas']]]</f>
        <v>#DIV/0!</v>
      </c>
      <c r="AD153" s="7" t="e">
        <f>[1]!Tabelle1325[[#This Row],[SD 2]]/[1]!Tabelle1325[[#This Row],[Mean Visc. 2 '[mPas']2]]</f>
        <v>#VALUE!</v>
      </c>
      <c r="AE153" s="7" t="e">
        <f>[1]!Tabelle1325[[#This Row],[SD 3]]/[1]!Tabelle1325[[#This Row],[Mean Visc. 3 '[mPas']3]]</f>
        <v>#VALUE!</v>
      </c>
    </row>
    <row r="154" spans="1:31" x14ac:dyDescent="0.3">
      <c r="A154">
        <v>153</v>
      </c>
      <c r="B154" s="4"/>
      <c r="C154" s="5"/>
      <c r="D154" s="7">
        <v>8</v>
      </c>
      <c r="E154" t="s">
        <v>182</v>
      </c>
      <c r="F154" t="s">
        <v>191</v>
      </c>
      <c r="G154" s="23"/>
      <c r="H154" s="11" t="s">
        <v>185</v>
      </c>
      <c r="I154" s="9" t="s">
        <v>12</v>
      </c>
      <c r="J154" s="7">
        <v>23</v>
      </c>
      <c r="K154" s="7">
        <v>19</v>
      </c>
      <c r="L154" s="7">
        <v>29.92</v>
      </c>
      <c r="M154" s="7">
        <v>375</v>
      </c>
      <c r="N154" s="7" t="e">
        <f>[1]!Tabelle1325[[#This Row],[Anzahl Frames]]/[1]!Tabelle1325[[#This Row],[Aufnahmezeit '[s']]]</f>
        <v>#VALUE!</v>
      </c>
      <c r="O154" s="6" t="e">
        <f>1/[1]!Tabelle1325[[#This Row],[Mean fps ]]</f>
        <v>#VALUE!</v>
      </c>
      <c r="P154" s="7">
        <v>40</v>
      </c>
      <c r="S154" s="7">
        <v>4.0990000000000002</v>
      </c>
      <c r="T154" s="7">
        <v>3.5579999999999998</v>
      </c>
      <c r="U154" s="7">
        <v>4.016</v>
      </c>
      <c r="V154" s="7"/>
      <c r="W154" s="7"/>
      <c r="X154" s="7"/>
      <c r="Y154" s="7"/>
      <c r="Z154" s="7"/>
      <c r="AA154" s="7"/>
      <c r="AB154" s="7"/>
      <c r="AC154" s="7" t="e">
        <f>Tabelle1321011121517[[#This Row],[SD 1]]/Tabelle1321011121517[[#This Row],[Mean Visc. 1 '[mPas']]]</f>
        <v>#DIV/0!</v>
      </c>
      <c r="AD154" s="7" t="e">
        <f>[1]!Tabelle1325[[#This Row],[SD 2]]/[1]!Tabelle1325[[#This Row],[Mean Visc. 2 '[mPas']2]]</f>
        <v>#VALUE!</v>
      </c>
      <c r="AE154" s="7" t="e">
        <f>[1]!Tabelle1325[[#This Row],[SD 3]]/[1]!Tabelle1325[[#This Row],[Mean Visc. 3 '[mPas']3]]</f>
        <v>#VALUE!</v>
      </c>
    </row>
    <row r="155" spans="1:31" x14ac:dyDescent="0.3">
      <c r="A155">
        <v>154</v>
      </c>
      <c r="B155" s="4"/>
      <c r="C155" s="5"/>
      <c r="D155" s="7">
        <v>8</v>
      </c>
      <c r="E155" t="s">
        <v>182</v>
      </c>
      <c r="F155" t="s">
        <v>191</v>
      </c>
      <c r="G155" s="23"/>
      <c r="H155" s="11" t="s">
        <v>185</v>
      </c>
      <c r="I155" s="9" t="s">
        <v>12</v>
      </c>
      <c r="J155" s="7">
        <v>23</v>
      </c>
      <c r="K155" s="7">
        <v>19</v>
      </c>
      <c r="L155" s="7">
        <v>31.14</v>
      </c>
      <c r="M155" s="7">
        <v>389</v>
      </c>
      <c r="N155" s="7" t="e">
        <f>[1]!Tabelle1325[[#This Row],[Anzahl Frames]]/[1]!Tabelle1325[[#This Row],[Aufnahmezeit '[s']]]</f>
        <v>#VALUE!</v>
      </c>
      <c r="O155" s="6" t="e">
        <f>1/[1]!Tabelle1325[[#This Row],[Mean fps ]]</f>
        <v>#VALUE!</v>
      </c>
      <c r="P155" s="7">
        <v>40</v>
      </c>
      <c r="S155" s="7">
        <v>4.3920000000000003</v>
      </c>
      <c r="T155" s="7">
        <v>3.2370000000000001</v>
      </c>
      <c r="U155" s="7">
        <v>3.86</v>
      </c>
      <c r="V155" s="7"/>
      <c r="W155" s="7"/>
      <c r="X155" s="7"/>
      <c r="Y155" s="7"/>
      <c r="Z155" s="7"/>
      <c r="AA155" s="7"/>
      <c r="AB155" s="7"/>
      <c r="AC155" s="7" t="e">
        <f>Tabelle1321011121517[[#This Row],[SD 1]]/Tabelle1321011121517[[#This Row],[Mean Visc. 1 '[mPas']]]</f>
        <v>#DIV/0!</v>
      </c>
      <c r="AD155" s="7" t="e">
        <f>[1]!Tabelle1325[[#This Row],[SD 2]]/[1]!Tabelle1325[[#This Row],[Mean Visc. 2 '[mPas']2]]</f>
        <v>#VALUE!</v>
      </c>
      <c r="AE155" s="7" t="e">
        <f>[1]!Tabelle1325[[#This Row],[SD 3]]/[1]!Tabelle1325[[#This Row],[Mean Visc. 3 '[mPas']3]]</f>
        <v>#VALUE!</v>
      </c>
    </row>
    <row r="156" spans="1:31" ht="15" thickBot="1" x14ac:dyDescent="0.35">
      <c r="A156">
        <v>155</v>
      </c>
      <c r="B156" s="15"/>
      <c r="C156" s="16"/>
      <c r="D156" s="7">
        <v>8</v>
      </c>
      <c r="E156" t="s">
        <v>182</v>
      </c>
      <c r="F156" t="s">
        <v>191</v>
      </c>
      <c r="G156" s="24"/>
      <c r="H156" s="11" t="s">
        <v>185</v>
      </c>
      <c r="I156" s="9" t="s">
        <v>12</v>
      </c>
      <c r="J156" s="17">
        <v>23</v>
      </c>
      <c r="K156" s="17">
        <v>19</v>
      </c>
      <c r="L156" s="17">
        <v>30.16</v>
      </c>
      <c r="M156" s="17">
        <v>378</v>
      </c>
      <c r="N156" s="17" t="e">
        <f>[1]!Tabelle1325[[#This Row],[Anzahl Frames]]/[1]!Tabelle1325[[#This Row],[Aufnahmezeit '[s']]]</f>
        <v>#VALUE!</v>
      </c>
      <c r="O156" s="25" t="e">
        <f>1/[1]!Tabelle1325[[#This Row],[Mean fps ]]</f>
        <v>#VALUE!</v>
      </c>
      <c r="P156" s="17">
        <v>40</v>
      </c>
      <c r="Q156" s="20"/>
      <c r="R156" s="21"/>
      <c r="S156" s="17">
        <v>4.72</v>
      </c>
      <c r="T156" s="17">
        <v>3.0449999999999999</v>
      </c>
      <c r="U156" s="17">
        <v>3.1659999999999999</v>
      </c>
      <c r="V156" s="17"/>
      <c r="W156" s="17"/>
      <c r="X156" s="17"/>
      <c r="Y156" s="17"/>
      <c r="Z156" s="7"/>
      <c r="AA156" s="7"/>
      <c r="AB156" s="7"/>
      <c r="AC156" s="7" t="e">
        <f>Tabelle1321011121517[[#This Row],[SD 1]]/Tabelle1321011121517[[#This Row],[Mean Visc. 1 '[mPas']]]</f>
        <v>#DIV/0!</v>
      </c>
      <c r="AD156" s="7" t="e">
        <f>[1]!Tabelle1325[[#This Row],[SD 2]]/[1]!Tabelle1325[[#This Row],[Mean Visc. 2 '[mPas']2]]</f>
        <v>#VALUE!</v>
      </c>
      <c r="AE156" s="7" t="e">
        <f>[1]!Tabelle1325[[#This Row],[SD 3]]/[1]!Tabelle1325[[#This Row],[Mean Visc. 3 '[mPas']3]]</f>
        <v>#VALUE!</v>
      </c>
    </row>
    <row r="157" spans="1:31" ht="15" thickTop="1" x14ac:dyDescent="0.3">
      <c r="A157">
        <v>156</v>
      </c>
      <c r="B157" s="4"/>
      <c r="C157" s="5"/>
      <c r="D157" s="7">
        <v>8</v>
      </c>
      <c r="E157" t="s">
        <v>182</v>
      </c>
      <c r="F157" t="s">
        <v>191</v>
      </c>
      <c r="G157" s="23"/>
      <c r="H157" s="11" t="s">
        <v>185</v>
      </c>
      <c r="I157" s="9" t="s">
        <v>12</v>
      </c>
      <c r="J157" s="7">
        <v>23.2</v>
      </c>
      <c r="K157" s="7">
        <v>19</v>
      </c>
      <c r="L157" s="7">
        <v>29.28</v>
      </c>
      <c r="M157" s="7">
        <v>367</v>
      </c>
      <c r="N157" s="7" t="e">
        <f>[1]!Tabelle1325[[#This Row],[Anzahl Frames]]/[1]!Tabelle1325[[#This Row],[Aufnahmezeit '[s']]]</f>
        <v>#VALUE!</v>
      </c>
      <c r="O157" s="6" t="e">
        <f>1/[1]!Tabelle1325[[#This Row],[Mean fps ]]</f>
        <v>#VALUE!</v>
      </c>
      <c r="P157" s="7">
        <v>40</v>
      </c>
      <c r="S157" s="7">
        <v>4.7969999999999997</v>
      </c>
      <c r="T157" s="7">
        <v>4.3369999999999997</v>
      </c>
      <c r="U157" s="7">
        <v>4.2359999999999998</v>
      </c>
      <c r="V157" s="7"/>
      <c r="W157" s="7"/>
      <c r="X157" s="7"/>
      <c r="Y157" s="7"/>
      <c r="Z157" s="7"/>
      <c r="AA157" s="7"/>
      <c r="AB157" s="7"/>
      <c r="AC157" s="7" t="e">
        <f>Tabelle1321011121517[[#This Row],[SD 1]]/Tabelle1321011121517[[#This Row],[Mean Visc. 1 '[mPas']]]</f>
        <v>#DIV/0!</v>
      </c>
      <c r="AD157" s="7" t="e">
        <f>[1]!Tabelle1325[[#This Row],[SD 2]]/[1]!Tabelle1325[[#This Row],[Mean Visc. 2 '[mPas']2]]</f>
        <v>#VALUE!</v>
      </c>
      <c r="AE157" s="7" t="e">
        <f>[1]!Tabelle1325[[#This Row],[SD 3]]/[1]!Tabelle1325[[#This Row],[Mean Visc. 3 '[mPas']3]]</f>
        <v>#VALUE!</v>
      </c>
    </row>
    <row r="158" spans="1:31" x14ac:dyDescent="0.3">
      <c r="A158">
        <v>157</v>
      </c>
      <c r="B158" s="4"/>
      <c r="C158" s="5"/>
      <c r="D158" s="7">
        <v>8</v>
      </c>
      <c r="E158" t="s">
        <v>182</v>
      </c>
      <c r="F158" t="s">
        <v>191</v>
      </c>
      <c r="G158" s="23"/>
      <c r="H158" s="11" t="s">
        <v>185</v>
      </c>
      <c r="I158" s="9" t="s">
        <v>12</v>
      </c>
      <c r="J158" s="7">
        <v>23.3</v>
      </c>
      <c r="K158" s="7">
        <v>19</v>
      </c>
      <c r="L158" s="7">
        <v>30.48</v>
      </c>
      <c r="M158" s="7">
        <v>381</v>
      </c>
      <c r="N158" s="7" t="e">
        <f>[1]!Tabelle1325[[#This Row],[Anzahl Frames]]/[1]!Tabelle1325[[#This Row],[Aufnahmezeit '[s']]]</f>
        <v>#VALUE!</v>
      </c>
      <c r="O158" s="6" t="e">
        <f>1/[1]!Tabelle1325[[#This Row],[Mean fps ]]</f>
        <v>#VALUE!</v>
      </c>
      <c r="P158" s="7">
        <v>40</v>
      </c>
      <c r="S158" s="7">
        <v>4.4240000000000004</v>
      </c>
      <c r="T158" s="7">
        <v>3.6219999999999999</v>
      </c>
      <c r="U158" s="7">
        <v>3.512</v>
      </c>
      <c r="V158" s="7"/>
      <c r="W158" s="7"/>
      <c r="X158" s="7"/>
      <c r="Y158" s="7"/>
      <c r="Z158" s="7"/>
      <c r="AA158" s="7"/>
      <c r="AB158" s="7"/>
      <c r="AC158" s="7" t="e">
        <f>Tabelle1321011121517[[#This Row],[SD 1]]/Tabelle1321011121517[[#This Row],[Mean Visc. 1 '[mPas']]]</f>
        <v>#DIV/0!</v>
      </c>
      <c r="AD158" s="7" t="e">
        <f>[1]!Tabelle1325[[#This Row],[SD 2]]/[1]!Tabelle1325[[#This Row],[Mean Visc. 2 '[mPas']2]]</f>
        <v>#VALUE!</v>
      </c>
      <c r="AE158" s="7" t="e">
        <f>[1]!Tabelle1325[[#This Row],[SD 3]]/[1]!Tabelle1325[[#This Row],[Mean Visc. 3 '[mPas']3]]</f>
        <v>#VALUE!</v>
      </c>
    </row>
    <row r="159" spans="1:31" x14ac:dyDescent="0.3">
      <c r="A159">
        <v>158</v>
      </c>
      <c r="B159" s="4"/>
      <c r="C159" s="5"/>
      <c r="D159" s="7">
        <v>8</v>
      </c>
      <c r="E159" t="s">
        <v>182</v>
      </c>
      <c r="F159" t="s">
        <v>191</v>
      </c>
      <c r="G159" s="23"/>
      <c r="H159" s="11" t="s">
        <v>185</v>
      </c>
      <c r="I159" s="9" t="s">
        <v>12</v>
      </c>
      <c r="J159" s="7">
        <v>23.3</v>
      </c>
      <c r="K159" s="7">
        <v>19</v>
      </c>
      <c r="L159" s="7">
        <v>30.16</v>
      </c>
      <c r="M159" s="7">
        <v>378</v>
      </c>
      <c r="N159" s="7" t="e">
        <f>[1]!Tabelle1325[[#This Row],[Anzahl Frames]]/[1]!Tabelle1325[[#This Row],[Aufnahmezeit '[s']]]</f>
        <v>#VALUE!</v>
      </c>
      <c r="O159" s="6" t="e">
        <f>1/[1]!Tabelle1325[[#This Row],[Mean fps ]]</f>
        <v>#VALUE!</v>
      </c>
      <c r="P159" s="7">
        <v>40</v>
      </c>
      <c r="S159" s="7">
        <v>4.3310000000000004</v>
      </c>
      <c r="T159" s="7">
        <v>3.4980000000000002</v>
      </c>
      <c r="U159" s="7">
        <v>3.746</v>
      </c>
      <c r="V159" s="7"/>
      <c r="W159" s="7"/>
      <c r="X159" s="7"/>
      <c r="Y159" s="7"/>
      <c r="Z159" s="7"/>
      <c r="AA159" s="7"/>
      <c r="AB159" s="7"/>
      <c r="AC159" s="7" t="e">
        <f>Tabelle1321011121517[[#This Row],[SD 1]]/Tabelle1321011121517[[#This Row],[Mean Visc. 1 '[mPas']]]</f>
        <v>#DIV/0!</v>
      </c>
      <c r="AD159" s="7" t="e">
        <f>[1]!Tabelle1325[[#This Row],[SD 2]]/[1]!Tabelle1325[[#This Row],[Mean Visc. 2 '[mPas']2]]</f>
        <v>#VALUE!</v>
      </c>
      <c r="AE159" s="7" t="e">
        <f>[1]!Tabelle1325[[#This Row],[SD 3]]/[1]!Tabelle1325[[#This Row],[Mean Visc. 3 '[mPas']3]]</f>
        <v>#VALUE!</v>
      </c>
    </row>
    <row r="160" spans="1:31" x14ac:dyDescent="0.3">
      <c r="A160">
        <v>159</v>
      </c>
      <c r="B160" s="4"/>
      <c r="C160" s="5"/>
      <c r="D160" s="7">
        <v>8</v>
      </c>
      <c r="E160" t="s">
        <v>182</v>
      </c>
      <c r="F160" t="s">
        <v>191</v>
      </c>
      <c r="G160" s="23"/>
      <c r="H160" s="11" t="s">
        <v>185</v>
      </c>
      <c r="I160" s="9" t="s">
        <v>12</v>
      </c>
      <c r="J160" s="7">
        <v>23.4</v>
      </c>
      <c r="K160" s="7">
        <v>19</v>
      </c>
      <c r="L160" s="7">
        <v>29.92</v>
      </c>
      <c r="M160" s="7">
        <v>374</v>
      </c>
      <c r="N160" s="7" t="e">
        <f>[1]!Tabelle1325[[#This Row],[Anzahl Frames]]/[1]!Tabelle1325[[#This Row],[Aufnahmezeit '[s']]]</f>
        <v>#VALUE!</v>
      </c>
      <c r="O160" s="6" t="e">
        <f>1/[1]!Tabelle1325[[#This Row],[Mean fps ]]</f>
        <v>#VALUE!</v>
      </c>
      <c r="P160" s="7">
        <v>40</v>
      </c>
      <c r="S160" s="7">
        <v>4.3650000000000002</v>
      </c>
      <c r="T160" s="7">
        <v>3.3149999999999999</v>
      </c>
      <c r="U160" s="7">
        <v>3.2890000000000001</v>
      </c>
      <c r="V160" s="7"/>
      <c r="W160" s="7"/>
      <c r="X160" s="7"/>
      <c r="Y160" s="7"/>
      <c r="Z160" s="7"/>
      <c r="AA160" s="7"/>
      <c r="AB160" s="7"/>
      <c r="AC160" s="7" t="e">
        <f>Tabelle1321011121517[[#This Row],[SD 1]]/Tabelle1321011121517[[#This Row],[Mean Visc. 1 '[mPas']]]</f>
        <v>#DIV/0!</v>
      </c>
      <c r="AD160" s="7" t="e">
        <f>[1]!Tabelle1325[[#This Row],[SD 2]]/[1]!Tabelle1325[[#This Row],[Mean Visc. 2 '[mPas']2]]</f>
        <v>#VALUE!</v>
      </c>
      <c r="AE160" s="7" t="e">
        <f>[1]!Tabelle1325[[#This Row],[SD 3]]/[1]!Tabelle1325[[#This Row],[Mean Visc. 3 '[mPas']3]]</f>
        <v>#VALUE!</v>
      </c>
    </row>
    <row r="161" spans="1:31" x14ac:dyDescent="0.3">
      <c r="A161">
        <v>160</v>
      </c>
      <c r="B161" s="4"/>
      <c r="C161" s="5"/>
      <c r="D161" s="7">
        <v>8</v>
      </c>
      <c r="E161" t="s">
        <v>182</v>
      </c>
      <c r="F161" t="s">
        <v>191</v>
      </c>
      <c r="G161" s="23"/>
      <c r="H161" s="11" t="s">
        <v>185</v>
      </c>
      <c r="I161" s="9" t="s">
        <v>12</v>
      </c>
      <c r="J161" s="7">
        <v>23.5</v>
      </c>
      <c r="K161" s="7">
        <v>19</v>
      </c>
      <c r="L161" s="7">
        <v>29.44</v>
      </c>
      <c r="M161" s="7">
        <v>368</v>
      </c>
      <c r="N161" s="7" t="e">
        <f>[1]!Tabelle1325[[#This Row],[Anzahl Frames]]/[1]!Tabelle1325[[#This Row],[Aufnahmezeit '[s']]]</f>
        <v>#VALUE!</v>
      </c>
      <c r="O161" s="6" t="e">
        <f>1/[1]!Tabelle1325[[#This Row],[Mean fps ]]</f>
        <v>#VALUE!</v>
      </c>
      <c r="P161" s="7">
        <v>40</v>
      </c>
      <c r="S161" s="7">
        <v>4.8730000000000002</v>
      </c>
      <c r="T161" s="7">
        <v>3.6840000000000002</v>
      </c>
      <c r="U161" s="7">
        <v>4.1589999999999998</v>
      </c>
      <c r="V161" s="7"/>
      <c r="W161" s="7">
        <f>SUM(S152:S161)/10</f>
        <v>4.3840000000000003</v>
      </c>
      <c r="X161" s="7">
        <f t="shared" ref="X161" si="30">SUM(T152:T161)/10</f>
        <v>3.4390999999999998</v>
      </c>
      <c r="Y161" s="7">
        <f t="shared" ref="Y161" si="31">SUM(U152:U161)/10</f>
        <v>3.7544999999999993</v>
      </c>
      <c r="Z161" s="7"/>
      <c r="AA161" s="7"/>
      <c r="AB161" s="7"/>
      <c r="AC161" s="7">
        <f>Tabelle1321011121517[[#This Row],[SD 1]]/Tabelle1321011121517[[#This Row],[Mean Visc. 1 '[mPas']]]</f>
        <v>0</v>
      </c>
      <c r="AD161" s="7" t="e">
        <f>[1]!Tabelle1325[[#This Row],[SD 2]]/[1]!Tabelle1325[[#This Row],[Mean Visc. 2 '[mPas']2]]</f>
        <v>#VALUE!</v>
      </c>
      <c r="AE161" s="7" t="e">
        <f>[1]!Tabelle1325[[#This Row],[SD 3]]/[1]!Tabelle1325[[#This Row],[Mean Visc. 3 '[mPas']3]]</f>
        <v>#VALUE!</v>
      </c>
    </row>
    <row r="162" spans="1:31" x14ac:dyDescent="0.3">
      <c r="A162">
        <v>161</v>
      </c>
      <c r="B162" s="4"/>
      <c r="C162" s="5"/>
      <c r="D162" s="7">
        <v>9</v>
      </c>
      <c r="E162" t="s">
        <v>182</v>
      </c>
      <c r="F162" t="s">
        <v>192</v>
      </c>
      <c r="G162" s="23"/>
      <c r="H162" s="11" t="s">
        <v>160</v>
      </c>
      <c r="I162" s="9" t="s">
        <v>12</v>
      </c>
      <c r="J162" s="7">
        <v>24.7</v>
      </c>
      <c r="K162" s="7">
        <v>22</v>
      </c>
      <c r="L162" s="7">
        <v>30.48</v>
      </c>
      <c r="M162" s="7">
        <v>381</v>
      </c>
      <c r="N162" s="7" t="e">
        <f>[1]!Tabelle1325[[#This Row],[Anzahl Frames]]/[1]!Tabelle1325[[#This Row],[Aufnahmezeit '[s']]]</f>
        <v>#VALUE!</v>
      </c>
      <c r="O162" s="6" t="e">
        <f>1/[1]!Tabelle1325[[#This Row],[Mean fps ]]</f>
        <v>#VALUE!</v>
      </c>
      <c r="P162" s="7">
        <v>40</v>
      </c>
      <c r="S162" s="7">
        <v>1.17</v>
      </c>
      <c r="T162" s="7">
        <v>0.93799999999999994</v>
      </c>
      <c r="U162" s="7">
        <v>1.4450000000000001</v>
      </c>
      <c r="V162" s="7"/>
      <c r="W162" s="7"/>
      <c r="X162" s="7"/>
      <c r="Y162" s="7"/>
      <c r="Z162" s="7"/>
      <c r="AA162" s="7"/>
      <c r="AB162" s="7"/>
      <c r="AC162" s="7" t="e">
        <f>Tabelle1321011121517[[#This Row],[SD 1]]/Tabelle1321011121517[[#This Row],[Mean Visc. 1 '[mPas']]]</f>
        <v>#DIV/0!</v>
      </c>
      <c r="AD162" s="7" t="e">
        <f>[1]!Tabelle1325[[#This Row],[SD 2]]/[1]!Tabelle1325[[#This Row],[Mean Visc. 2 '[mPas']2]]</f>
        <v>#VALUE!</v>
      </c>
      <c r="AE162" s="7" t="e">
        <f>[1]!Tabelle1325[[#This Row],[SD 3]]/[1]!Tabelle1325[[#This Row],[Mean Visc. 3 '[mPas']3]]</f>
        <v>#VALUE!</v>
      </c>
    </row>
    <row r="163" spans="1:31" x14ac:dyDescent="0.3">
      <c r="A163">
        <v>162</v>
      </c>
      <c r="B163" s="4"/>
      <c r="C163" s="5"/>
      <c r="D163" s="7">
        <v>9</v>
      </c>
      <c r="E163" t="s">
        <v>182</v>
      </c>
      <c r="F163" t="s">
        <v>192</v>
      </c>
      <c r="G163" s="23"/>
      <c r="H163" s="11" t="s">
        <v>160</v>
      </c>
      <c r="I163" s="9" t="s">
        <v>12</v>
      </c>
      <c r="J163" s="7">
        <v>24.8</v>
      </c>
      <c r="K163" s="7">
        <v>22</v>
      </c>
      <c r="L163" s="7">
        <v>30.67</v>
      </c>
      <c r="M163" s="7">
        <v>382</v>
      </c>
      <c r="N163" s="7" t="e">
        <f>[1]!Tabelle1325[[#This Row],[Anzahl Frames]]/[1]!Tabelle1325[[#This Row],[Aufnahmezeit '[s']]]</f>
        <v>#VALUE!</v>
      </c>
      <c r="O163" s="6" t="e">
        <f>1/[1]!Tabelle1325[[#This Row],[Mean fps ]]</f>
        <v>#VALUE!</v>
      </c>
      <c r="P163" s="7">
        <v>40</v>
      </c>
      <c r="S163" s="7">
        <v>1.3260000000000001</v>
      </c>
      <c r="T163" s="7">
        <v>1.03</v>
      </c>
      <c r="U163" s="7">
        <v>1.5029999999999999</v>
      </c>
      <c r="V163" s="7"/>
      <c r="W163" s="7"/>
      <c r="X163" s="7"/>
      <c r="Y163" s="7"/>
      <c r="Z163" s="7"/>
      <c r="AA163" s="7"/>
      <c r="AB163" s="7"/>
      <c r="AC163" s="7" t="e">
        <f>Tabelle1321011121517[[#This Row],[SD 1]]/Tabelle1321011121517[[#This Row],[Mean Visc. 1 '[mPas']]]</f>
        <v>#DIV/0!</v>
      </c>
      <c r="AD163" s="7" t="e">
        <f>[1]!Tabelle1325[[#This Row],[SD 2]]/[1]!Tabelle1325[[#This Row],[Mean Visc. 2 '[mPas']2]]</f>
        <v>#VALUE!</v>
      </c>
      <c r="AE163" s="7" t="e">
        <f>[1]!Tabelle1325[[#This Row],[SD 3]]/[1]!Tabelle1325[[#This Row],[Mean Visc. 3 '[mPas']3]]</f>
        <v>#VALUE!</v>
      </c>
    </row>
    <row r="164" spans="1:31" x14ac:dyDescent="0.3">
      <c r="A164">
        <v>163</v>
      </c>
      <c r="B164" s="4"/>
      <c r="C164" s="5"/>
      <c r="D164" s="7">
        <v>9</v>
      </c>
      <c r="E164" t="s">
        <v>182</v>
      </c>
      <c r="F164" t="s">
        <v>192</v>
      </c>
      <c r="G164" s="23"/>
      <c r="H164" s="11" t="s">
        <v>160</v>
      </c>
      <c r="I164" s="9" t="s">
        <v>12</v>
      </c>
      <c r="J164" s="7">
        <v>24.9</v>
      </c>
      <c r="K164" s="7">
        <v>22</v>
      </c>
      <c r="L164" s="7">
        <v>30.88</v>
      </c>
      <c r="M164" s="7">
        <v>386</v>
      </c>
      <c r="N164" s="7" t="e">
        <f>[1]!Tabelle1325[[#This Row],[Anzahl Frames]]/[1]!Tabelle1325[[#This Row],[Aufnahmezeit '[s']]]</f>
        <v>#VALUE!</v>
      </c>
      <c r="O164" s="6" t="e">
        <f>1/[1]!Tabelle1325[[#This Row],[Mean fps ]]</f>
        <v>#VALUE!</v>
      </c>
      <c r="P164" s="7">
        <v>40</v>
      </c>
      <c r="S164" s="7">
        <v>1.2010000000000001</v>
      </c>
      <c r="T164" s="7">
        <v>1.04</v>
      </c>
      <c r="U164" s="7">
        <v>1.5029999999999999</v>
      </c>
      <c r="V164" s="7"/>
      <c r="W164" s="7"/>
      <c r="X164" s="7"/>
      <c r="Y164" s="7"/>
      <c r="Z164" s="7"/>
      <c r="AA164" s="7"/>
      <c r="AB164" s="7"/>
      <c r="AC164" s="7" t="e">
        <f>Tabelle1321011121517[[#This Row],[SD 1]]/Tabelle1321011121517[[#This Row],[Mean Visc. 1 '[mPas']]]</f>
        <v>#DIV/0!</v>
      </c>
      <c r="AD164" s="7" t="e">
        <f>[1]!Tabelle1325[[#This Row],[SD 2]]/[1]!Tabelle1325[[#This Row],[Mean Visc. 2 '[mPas']2]]</f>
        <v>#VALUE!</v>
      </c>
      <c r="AE164" s="7" t="e">
        <f>[1]!Tabelle1325[[#This Row],[SD 3]]/[1]!Tabelle1325[[#This Row],[Mean Visc. 3 '[mPas']3]]</f>
        <v>#VALUE!</v>
      </c>
    </row>
    <row r="165" spans="1:31" x14ac:dyDescent="0.3">
      <c r="A165">
        <v>164</v>
      </c>
      <c r="B165" s="4"/>
      <c r="C165" s="5"/>
      <c r="D165" s="7">
        <v>9</v>
      </c>
      <c r="E165" t="s">
        <v>182</v>
      </c>
      <c r="F165" t="s">
        <v>192</v>
      </c>
      <c r="G165" s="23"/>
      <c r="H165" s="11" t="s">
        <v>160</v>
      </c>
      <c r="I165" s="9" t="s">
        <v>12</v>
      </c>
      <c r="J165" s="7">
        <v>24.9</v>
      </c>
      <c r="K165" s="7">
        <v>22</v>
      </c>
      <c r="L165" s="7">
        <v>29.98</v>
      </c>
      <c r="M165" s="7">
        <v>375</v>
      </c>
      <c r="N165" s="7" t="e">
        <f>[1]!Tabelle1325[[#This Row],[Anzahl Frames]]/[1]!Tabelle1325[[#This Row],[Aufnahmezeit '[s']]]</f>
        <v>#VALUE!</v>
      </c>
      <c r="O165" s="6" t="e">
        <f>1/[1]!Tabelle1325[[#This Row],[Mean fps ]]</f>
        <v>#VALUE!</v>
      </c>
      <c r="P165" s="7">
        <v>40</v>
      </c>
      <c r="S165" s="7">
        <v>1.327</v>
      </c>
      <c r="T165" s="7">
        <v>1.036</v>
      </c>
      <c r="U165" s="7">
        <v>1.758</v>
      </c>
      <c r="V165" s="7"/>
      <c r="W165" s="7"/>
      <c r="X165" s="7"/>
      <c r="Y165" s="7"/>
      <c r="Z165" s="7"/>
      <c r="AA165" s="7"/>
      <c r="AB165" s="7"/>
      <c r="AC165" s="7" t="e">
        <f>Tabelle1321011121517[[#This Row],[SD 1]]/Tabelle1321011121517[[#This Row],[Mean Visc. 1 '[mPas']]]</f>
        <v>#DIV/0!</v>
      </c>
      <c r="AD165" s="7" t="e">
        <f>[1]!Tabelle1325[[#This Row],[SD 2]]/[1]!Tabelle1325[[#This Row],[Mean Visc. 2 '[mPas']2]]</f>
        <v>#VALUE!</v>
      </c>
      <c r="AE165" s="7" t="e">
        <f>[1]!Tabelle1325[[#This Row],[SD 3]]/[1]!Tabelle1325[[#This Row],[Mean Visc. 3 '[mPas']3]]</f>
        <v>#VALUE!</v>
      </c>
    </row>
    <row r="166" spans="1:31" ht="15" thickBot="1" x14ac:dyDescent="0.35">
      <c r="A166">
        <v>165</v>
      </c>
      <c r="B166" s="4"/>
      <c r="C166" s="16"/>
      <c r="D166" s="7">
        <v>9</v>
      </c>
      <c r="E166" t="s">
        <v>182</v>
      </c>
      <c r="F166" t="s">
        <v>192</v>
      </c>
      <c r="G166" s="24"/>
      <c r="H166" s="11" t="s">
        <v>160</v>
      </c>
      <c r="I166" s="9" t="s">
        <v>12</v>
      </c>
      <c r="J166" s="17">
        <v>25</v>
      </c>
      <c r="K166" s="17">
        <v>22</v>
      </c>
      <c r="L166" s="17">
        <v>31.92</v>
      </c>
      <c r="M166" s="17">
        <v>399</v>
      </c>
      <c r="N166" s="17" t="e">
        <f>[1]!Tabelle1325[[#This Row],[Anzahl Frames]]/[1]!Tabelle1325[[#This Row],[Aufnahmezeit '[s']]]</f>
        <v>#VALUE!</v>
      </c>
      <c r="O166" s="25" t="e">
        <f>1/[1]!Tabelle1325[[#This Row],[Mean fps ]]</f>
        <v>#VALUE!</v>
      </c>
      <c r="P166" s="17">
        <v>40</v>
      </c>
      <c r="Q166" s="20"/>
      <c r="R166" s="21"/>
      <c r="S166" s="17">
        <v>1.133</v>
      </c>
      <c r="T166" s="17">
        <v>1.0489999999999999</v>
      </c>
      <c r="U166" s="17">
        <v>1.5740000000000001</v>
      </c>
      <c r="V166" s="17"/>
      <c r="W166" s="17"/>
      <c r="X166" s="17"/>
      <c r="Y166" s="17"/>
      <c r="Z166" s="7"/>
      <c r="AA166" s="7"/>
      <c r="AB166" s="7"/>
      <c r="AC166" s="7" t="e">
        <f>Tabelle1321011121517[[#This Row],[SD 1]]/Tabelle1321011121517[[#This Row],[Mean Visc. 1 '[mPas']]]</f>
        <v>#DIV/0!</v>
      </c>
      <c r="AD166" s="7" t="e">
        <f>[1]!Tabelle1325[[#This Row],[SD 2]]/[1]!Tabelle1325[[#This Row],[Mean Visc. 2 '[mPas']2]]</f>
        <v>#VALUE!</v>
      </c>
      <c r="AE166" s="7" t="e">
        <f>[1]!Tabelle1325[[#This Row],[SD 3]]/[1]!Tabelle1325[[#This Row],[Mean Visc. 3 '[mPas']3]]</f>
        <v>#VALUE!</v>
      </c>
    </row>
    <row r="167" spans="1:31" ht="15" thickTop="1" x14ac:dyDescent="0.3">
      <c r="A167">
        <v>166</v>
      </c>
      <c r="B167" s="4"/>
      <c r="C167" s="5"/>
      <c r="D167" s="7">
        <v>9</v>
      </c>
      <c r="E167" t="s">
        <v>182</v>
      </c>
      <c r="F167" t="s">
        <v>192</v>
      </c>
      <c r="G167" s="23"/>
      <c r="H167" s="11" t="s">
        <v>160</v>
      </c>
      <c r="I167" s="9" t="s">
        <v>12</v>
      </c>
      <c r="J167" s="7">
        <v>25.1</v>
      </c>
      <c r="K167" s="7">
        <v>19</v>
      </c>
      <c r="L167" s="7">
        <v>30.06</v>
      </c>
      <c r="M167" s="7">
        <v>376</v>
      </c>
      <c r="N167" s="7" t="e">
        <f>[1]!Tabelle1325[[#This Row],[Anzahl Frames]]/[1]!Tabelle1325[[#This Row],[Aufnahmezeit '[s']]]</f>
        <v>#VALUE!</v>
      </c>
      <c r="O167" s="6" t="e">
        <f>1/[1]!Tabelle1325[[#This Row],[Mean fps ]]</f>
        <v>#VALUE!</v>
      </c>
      <c r="P167" s="7">
        <v>40</v>
      </c>
      <c r="S167" s="7">
        <v>1.3680000000000001</v>
      </c>
      <c r="T167" s="7">
        <v>1.0880000000000001</v>
      </c>
      <c r="U167" s="7">
        <v>1.6950000000000001</v>
      </c>
      <c r="V167" s="7"/>
      <c r="W167" s="7"/>
      <c r="X167" s="7"/>
      <c r="Y167" s="7"/>
      <c r="Z167" s="7"/>
      <c r="AA167" s="7"/>
      <c r="AB167" s="7"/>
      <c r="AC167" s="7" t="e">
        <f>Tabelle1321011121517[[#This Row],[SD 1]]/Tabelle1321011121517[[#This Row],[Mean Visc. 1 '[mPas']]]</f>
        <v>#DIV/0!</v>
      </c>
      <c r="AD167" s="7" t="e">
        <f>[1]!Tabelle1325[[#This Row],[SD 2]]/[1]!Tabelle1325[[#This Row],[Mean Visc. 2 '[mPas']2]]</f>
        <v>#VALUE!</v>
      </c>
      <c r="AE167" s="7" t="e">
        <f>[1]!Tabelle1325[[#This Row],[SD 3]]/[1]!Tabelle1325[[#This Row],[Mean Visc. 3 '[mPas']3]]</f>
        <v>#VALUE!</v>
      </c>
    </row>
    <row r="168" spans="1:31" x14ac:dyDescent="0.3">
      <c r="A168">
        <v>167</v>
      </c>
      <c r="B168" s="4"/>
      <c r="C168" s="5"/>
      <c r="D168" s="7">
        <v>9</v>
      </c>
      <c r="E168" t="s">
        <v>182</v>
      </c>
      <c r="F168" t="s">
        <v>192</v>
      </c>
      <c r="G168" s="23"/>
      <c r="H168" s="11" t="s">
        <v>160</v>
      </c>
      <c r="I168" s="9" t="s">
        <v>12</v>
      </c>
      <c r="J168" s="7">
        <v>25.1</v>
      </c>
      <c r="K168" s="7">
        <v>19</v>
      </c>
      <c r="L168" s="7">
        <v>30.14</v>
      </c>
      <c r="M168" s="7">
        <v>377</v>
      </c>
      <c r="N168" s="7" t="e">
        <f>[1]!Tabelle1325[[#This Row],[Anzahl Frames]]/[1]!Tabelle1325[[#This Row],[Aufnahmezeit '[s']]]</f>
        <v>#VALUE!</v>
      </c>
      <c r="O168" s="6" t="e">
        <f>1/[1]!Tabelle1325[[#This Row],[Mean fps ]]</f>
        <v>#VALUE!</v>
      </c>
      <c r="P168" s="7">
        <v>40</v>
      </c>
      <c r="S168" s="7">
        <v>1.1459999999999999</v>
      </c>
      <c r="T168" s="7">
        <v>1.038</v>
      </c>
      <c r="U168" s="7">
        <v>1.5720000000000001</v>
      </c>
      <c r="V168" s="7"/>
      <c r="W168" s="7"/>
      <c r="X168" s="7"/>
      <c r="Y168" s="7"/>
      <c r="Z168" s="7"/>
      <c r="AA168" s="7"/>
      <c r="AB168" s="7"/>
      <c r="AC168" s="7" t="e">
        <f>Tabelle1321011121517[[#This Row],[SD 1]]/Tabelle1321011121517[[#This Row],[Mean Visc. 1 '[mPas']]]</f>
        <v>#DIV/0!</v>
      </c>
      <c r="AD168" s="7" t="e">
        <f>[1]!Tabelle1325[[#This Row],[SD 2]]/[1]!Tabelle1325[[#This Row],[Mean Visc. 2 '[mPas']2]]</f>
        <v>#VALUE!</v>
      </c>
      <c r="AE168" s="7" t="e">
        <f>[1]!Tabelle1325[[#This Row],[SD 3]]/[1]!Tabelle1325[[#This Row],[Mean Visc. 3 '[mPas']3]]</f>
        <v>#VALUE!</v>
      </c>
    </row>
    <row r="169" spans="1:31" x14ac:dyDescent="0.3">
      <c r="A169">
        <v>168</v>
      </c>
      <c r="B169" s="4"/>
      <c r="C169" s="5"/>
      <c r="D169" s="7">
        <v>9</v>
      </c>
      <c r="E169" t="s">
        <v>182</v>
      </c>
      <c r="F169" t="s">
        <v>192</v>
      </c>
      <c r="G169" s="23"/>
      <c r="H169" s="11" t="s">
        <v>160</v>
      </c>
      <c r="I169" s="9" t="s">
        <v>12</v>
      </c>
      <c r="J169" s="7">
        <v>25.2</v>
      </c>
      <c r="K169" s="7">
        <v>16</v>
      </c>
      <c r="L169" s="7">
        <v>31.52</v>
      </c>
      <c r="M169" s="7">
        <v>394</v>
      </c>
      <c r="N169" s="7" t="e">
        <f>[1]!Tabelle1325[[#This Row],[Anzahl Frames]]/[1]!Tabelle1325[[#This Row],[Aufnahmezeit '[s']]]</f>
        <v>#VALUE!</v>
      </c>
      <c r="O169" s="6" t="e">
        <f>1/[1]!Tabelle1325[[#This Row],[Mean fps ]]</f>
        <v>#VALUE!</v>
      </c>
      <c r="P169" s="7">
        <v>40</v>
      </c>
      <c r="S169" s="7">
        <v>1.07</v>
      </c>
      <c r="T169" s="7">
        <v>0.95799999999999996</v>
      </c>
      <c r="U169" s="7">
        <v>1.552</v>
      </c>
      <c r="V169" s="7"/>
      <c r="W169" s="7"/>
      <c r="X169" s="7"/>
      <c r="Y169" s="7"/>
      <c r="Z169" s="7"/>
      <c r="AA169" s="7"/>
      <c r="AB169" s="7"/>
      <c r="AC169" s="7" t="e">
        <f>Tabelle1321011121517[[#This Row],[SD 1]]/Tabelle1321011121517[[#This Row],[Mean Visc. 1 '[mPas']]]</f>
        <v>#DIV/0!</v>
      </c>
      <c r="AD169" s="7" t="e">
        <f>[1]!Tabelle1325[[#This Row],[SD 2]]/[1]!Tabelle1325[[#This Row],[Mean Visc. 2 '[mPas']2]]</f>
        <v>#VALUE!</v>
      </c>
      <c r="AE169" s="7" t="e">
        <f>[1]!Tabelle1325[[#This Row],[SD 3]]/[1]!Tabelle1325[[#This Row],[Mean Visc. 3 '[mPas']3]]</f>
        <v>#VALUE!</v>
      </c>
    </row>
    <row r="170" spans="1:31" x14ac:dyDescent="0.3">
      <c r="A170">
        <v>169</v>
      </c>
      <c r="B170" s="4"/>
      <c r="C170" s="5"/>
      <c r="D170" s="7">
        <v>9</v>
      </c>
      <c r="E170" t="s">
        <v>182</v>
      </c>
      <c r="F170" t="s">
        <v>192</v>
      </c>
      <c r="G170" s="23"/>
      <c r="H170" s="11" t="s">
        <v>160</v>
      </c>
      <c r="I170" s="9" t="s">
        <v>12</v>
      </c>
      <c r="J170" s="7">
        <v>25.2</v>
      </c>
      <c r="K170" s="7">
        <v>16</v>
      </c>
      <c r="L170" s="7">
        <v>32.4</v>
      </c>
      <c r="M170" s="7">
        <v>405</v>
      </c>
      <c r="N170" s="7" t="e">
        <f>[1]!Tabelle1325[[#This Row],[Anzahl Frames]]/[1]!Tabelle1325[[#This Row],[Aufnahmezeit '[s']]]</f>
        <v>#VALUE!</v>
      </c>
      <c r="O170" s="6" t="e">
        <f>1/[1]!Tabelle1325[[#This Row],[Mean fps ]]</f>
        <v>#VALUE!</v>
      </c>
      <c r="P170" s="7">
        <v>40</v>
      </c>
      <c r="S170" s="7">
        <v>1.175</v>
      </c>
      <c r="T170" s="7">
        <v>1.02</v>
      </c>
      <c r="U170" s="7">
        <v>1.706</v>
      </c>
      <c r="V170" s="7"/>
      <c r="W170" s="7"/>
      <c r="X170" s="7"/>
      <c r="Y170" s="7"/>
      <c r="Z170" s="7"/>
      <c r="AA170" s="7"/>
      <c r="AB170" s="7"/>
      <c r="AC170" s="7" t="e">
        <f>Tabelle1321011121517[[#This Row],[SD 1]]/Tabelle1321011121517[[#This Row],[Mean Visc. 1 '[mPas']]]</f>
        <v>#DIV/0!</v>
      </c>
      <c r="AD170" s="7" t="e">
        <f>[1]!Tabelle1325[[#This Row],[SD 2]]/[1]!Tabelle1325[[#This Row],[Mean Visc. 2 '[mPas']2]]</f>
        <v>#VALUE!</v>
      </c>
      <c r="AE170" s="7" t="e">
        <f>[1]!Tabelle1325[[#This Row],[SD 3]]/[1]!Tabelle1325[[#This Row],[Mean Visc. 3 '[mPas']3]]</f>
        <v>#VALUE!</v>
      </c>
    </row>
    <row r="171" spans="1:31" ht="15" thickBot="1" x14ac:dyDescent="0.35">
      <c r="A171">
        <v>170</v>
      </c>
      <c r="B171" s="15"/>
      <c r="C171" s="16"/>
      <c r="D171" s="7">
        <v>9</v>
      </c>
      <c r="E171" t="s">
        <v>182</v>
      </c>
      <c r="F171" t="s">
        <v>192</v>
      </c>
      <c r="G171" s="24"/>
      <c r="H171" s="11" t="s">
        <v>160</v>
      </c>
      <c r="I171" s="9" t="s">
        <v>12</v>
      </c>
      <c r="J171" s="17">
        <v>25.2</v>
      </c>
      <c r="K171" s="17">
        <v>16</v>
      </c>
      <c r="L171" s="17">
        <v>30.56</v>
      </c>
      <c r="M171" s="17">
        <v>382</v>
      </c>
      <c r="N171" s="17" t="e">
        <f>[1]!Tabelle1325[[#This Row],[Anzahl Frames]]/[1]!Tabelle1325[[#This Row],[Aufnahmezeit '[s']]]</f>
        <v>#VALUE!</v>
      </c>
      <c r="O171" s="25" t="e">
        <f>1/[1]!Tabelle1325[[#This Row],[Mean fps ]]</f>
        <v>#VALUE!</v>
      </c>
      <c r="P171" s="17">
        <v>40</v>
      </c>
      <c r="Q171" s="20"/>
      <c r="R171" s="21"/>
      <c r="S171" s="17">
        <v>1.157</v>
      </c>
      <c r="T171" s="17">
        <v>0.94399999999999995</v>
      </c>
      <c r="U171" s="17">
        <v>1.7370000000000001</v>
      </c>
      <c r="V171" s="17"/>
      <c r="W171" s="7">
        <f>SUM(S162:S171)/10</f>
        <v>1.2073</v>
      </c>
      <c r="X171" s="7">
        <f t="shared" ref="X171" si="32">SUM(T162:T171)/10</f>
        <v>1.0140999999999998</v>
      </c>
      <c r="Y171" s="7">
        <f t="shared" ref="Y171" si="33">SUM(U162:U171)/10</f>
        <v>1.6045000000000003</v>
      </c>
      <c r="Z171" s="7"/>
      <c r="AA171" s="7"/>
      <c r="AB171" s="7"/>
      <c r="AC171" s="7">
        <f>Tabelle1321011121517[[#This Row],[SD 1]]/Tabelle1321011121517[[#This Row],[Mean Visc. 1 '[mPas']]]</f>
        <v>0</v>
      </c>
      <c r="AD171" s="7" t="e">
        <f>[1]!Tabelle1325[[#This Row],[SD 2]]/[1]!Tabelle1325[[#This Row],[Mean Visc. 2 '[mPas']2]]</f>
        <v>#VALUE!</v>
      </c>
      <c r="AE171" s="7" t="e">
        <f>[1]!Tabelle1325[[#This Row],[SD 3]]/[1]!Tabelle1325[[#This Row],[Mean Visc. 3 '[mPas']3]]</f>
        <v>#VALUE!</v>
      </c>
    </row>
    <row r="172" spans="1:31" ht="15" thickTop="1" x14ac:dyDescent="0.3">
      <c r="A172">
        <v>171</v>
      </c>
      <c r="B172" s="4"/>
      <c r="C172" s="5"/>
      <c r="D172" s="7">
        <v>9</v>
      </c>
      <c r="E172" t="s">
        <v>182</v>
      </c>
      <c r="F172" t="s">
        <v>193</v>
      </c>
      <c r="G172" s="23"/>
      <c r="H172" s="11" t="s">
        <v>185</v>
      </c>
      <c r="I172" s="9" t="s">
        <v>12</v>
      </c>
      <c r="J172" s="7">
        <v>23.6</v>
      </c>
      <c r="K172" s="7">
        <v>19</v>
      </c>
      <c r="L172" s="7">
        <v>29.6</v>
      </c>
      <c r="M172" s="7">
        <v>371</v>
      </c>
      <c r="N172" s="7" t="e">
        <f>[1]!Tabelle1325[[#This Row],[Anzahl Frames]]/[1]!Tabelle1325[[#This Row],[Aufnahmezeit '[s']]]</f>
        <v>#VALUE!</v>
      </c>
      <c r="O172" s="6" t="e">
        <f>1/[1]!Tabelle1325[[#This Row],[Mean fps ]]</f>
        <v>#VALUE!</v>
      </c>
      <c r="P172" s="7">
        <v>40</v>
      </c>
      <c r="S172" s="7">
        <v>1.3220000000000001</v>
      </c>
      <c r="T172" s="7">
        <v>1.143</v>
      </c>
      <c r="U172" s="7">
        <v>1.6779999999999999</v>
      </c>
      <c r="V172" s="7"/>
      <c r="W172" s="7"/>
      <c r="X172" s="7"/>
      <c r="Y172" s="7"/>
      <c r="Z172" s="7"/>
      <c r="AA172" s="7"/>
      <c r="AB172" s="7"/>
      <c r="AC172" s="7" t="e">
        <f>Tabelle1321011121517[[#This Row],[SD 1]]/Tabelle1321011121517[[#This Row],[Mean Visc. 1 '[mPas']]]</f>
        <v>#DIV/0!</v>
      </c>
      <c r="AD172" s="7" t="e">
        <f>[1]!Tabelle1325[[#This Row],[SD 2]]/[1]!Tabelle1325[[#This Row],[Mean Visc. 2 '[mPas']2]]</f>
        <v>#VALUE!</v>
      </c>
      <c r="AE172" s="7" t="e">
        <f>[1]!Tabelle1325[[#This Row],[SD 3]]/[1]!Tabelle1325[[#This Row],[Mean Visc. 3 '[mPas']3]]</f>
        <v>#VALUE!</v>
      </c>
    </row>
    <row r="173" spans="1:31" x14ac:dyDescent="0.3">
      <c r="A173">
        <v>172</v>
      </c>
      <c r="B173" s="4"/>
      <c r="C173" s="5"/>
      <c r="D173" s="7">
        <v>9</v>
      </c>
      <c r="E173" t="s">
        <v>182</v>
      </c>
      <c r="F173" t="s">
        <v>193</v>
      </c>
      <c r="G173" s="23"/>
      <c r="H173" s="11" t="s">
        <v>185</v>
      </c>
      <c r="I173" s="9" t="s">
        <v>12</v>
      </c>
      <c r="J173" s="7">
        <v>23.7</v>
      </c>
      <c r="K173" s="7">
        <v>19</v>
      </c>
      <c r="L173" s="7">
        <v>29.84</v>
      </c>
      <c r="M173" s="7">
        <v>374</v>
      </c>
      <c r="N173" s="7" t="e">
        <f>[1]!Tabelle1325[[#This Row],[Anzahl Frames]]/[1]!Tabelle1325[[#This Row],[Aufnahmezeit '[s']]]</f>
        <v>#VALUE!</v>
      </c>
      <c r="O173" s="6" t="e">
        <f>1/[1]!Tabelle1325[[#This Row],[Mean fps ]]</f>
        <v>#VALUE!</v>
      </c>
      <c r="P173" s="7">
        <v>40</v>
      </c>
      <c r="S173" s="7">
        <v>1.254</v>
      </c>
      <c r="T173" s="7">
        <v>1.103</v>
      </c>
      <c r="U173" s="7">
        <v>1.6779999999999999</v>
      </c>
      <c r="V173" s="7"/>
      <c r="W173" s="7"/>
      <c r="X173" s="7"/>
      <c r="Y173" s="7"/>
      <c r="Z173" s="7"/>
      <c r="AA173" s="7"/>
      <c r="AB173" s="7"/>
      <c r="AC173" s="7" t="e">
        <f>Tabelle1321011121517[[#This Row],[SD 1]]/Tabelle1321011121517[[#This Row],[Mean Visc. 1 '[mPas']]]</f>
        <v>#DIV/0!</v>
      </c>
      <c r="AD173" s="7" t="e">
        <f>[1]!Tabelle1325[[#This Row],[SD 2]]/[1]!Tabelle1325[[#This Row],[Mean Visc. 2 '[mPas']2]]</f>
        <v>#VALUE!</v>
      </c>
      <c r="AE173" s="7" t="e">
        <f>[1]!Tabelle1325[[#This Row],[SD 3]]/[1]!Tabelle1325[[#This Row],[Mean Visc. 3 '[mPas']3]]</f>
        <v>#VALUE!</v>
      </c>
    </row>
    <row r="174" spans="1:31" x14ac:dyDescent="0.3">
      <c r="A174">
        <v>173</v>
      </c>
      <c r="B174" s="4"/>
      <c r="C174" s="5"/>
      <c r="D174" s="7">
        <v>9</v>
      </c>
      <c r="E174" t="s">
        <v>182</v>
      </c>
      <c r="F174" t="s">
        <v>193</v>
      </c>
      <c r="G174" s="23"/>
      <c r="H174" s="11" t="s">
        <v>185</v>
      </c>
      <c r="I174" s="9" t="s">
        <v>12</v>
      </c>
      <c r="J174" s="7">
        <v>23.8</v>
      </c>
      <c r="K174" s="7">
        <v>19</v>
      </c>
      <c r="L174" s="7">
        <v>31.28</v>
      </c>
      <c r="M174" s="7">
        <v>391</v>
      </c>
      <c r="N174" s="7" t="e">
        <f>[1]!Tabelle1325[[#This Row],[Anzahl Frames]]/[1]!Tabelle1325[[#This Row],[Aufnahmezeit '[s']]]</f>
        <v>#VALUE!</v>
      </c>
      <c r="O174" s="6" t="e">
        <f>1/[1]!Tabelle1325[[#This Row],[Mean fps ]]</f>
        <v>#VALUE!</v>
      </c>
      <c r="P174" s="7">
        <v>40</v>
      </c>
      <c r="S174" s="7">
        <v>1.2929999999999999</v>
      </c>
      <c r="T174" s="7">
        <v>1.022</v>
      </c>
      <c r="U174" s="7">
        <v>1.6140000000000001</v>
      </c>
      <c r="V174" s="7"/>
      <c r="W174" s="7"/>
      <c r="X174" s="7"/>
      <c r="Y174" s="7"/>
      <c r="Z174" s="7"/>
      <c r="AA174" s="7"/>
      <c r="AB174" s="7"/>
      <c r="AC174" s="7" t="e">
        <f>Tabelle1321011121517[[#This Row],[SD 1]]/Tabelle1321011121517[[#This Row],[Mean Visc. 1 '[mPas']]]</f>
        <v>#DIV/0!</v>
      </c>
      <c r="AD174" s="7" t="e">
        <f>[1]!Tabelle1325[[#This Row],[SD 2]]/[1]!Tabelle1325[[#This Row],[Mean Visc. 2 '[mPas']2]]</f>
        <v>#VALUE!</v>
      </c>
      <c r="AE174" s="7" t="e">
        <f>[1]!Tabelle1325[[#This Row],[SD 3]]/[1]!Tabelle1325[[#This Row],[Mean Visc. 3 '[mPas']3]]</f>
        <v>#VALUE!</v>
      </c>
    </row>
    <row r="175" spans="1:31" x14ac:dyDescent="0.3">
      <c r="A175">
        <v>174</v>
      </c>
      <c r="B175" s="4"/>
      <c r="C175" s="5"/>
      <c r="D175" s="7">
        <v>9</v>
      </c>
      <c r="E175" t="s">
        <v>182</v>
      </c>
      <c r="F175" t="s">
        <v>193</v>
      </c>
      <c r="G175" s="23"/>
      <c r="H175" s="11" t="s">
        <v>185</v>
      </c>
      <c r="I175" s="9" t="s">
        <v>12</v>
      </c>
      <c r="J175" s="7">
        <v>23.8</v>
      </c>
      <c r="K175" s="7">
        <v>19</v>
      </c>
      <c r="L175" s="7">
        <v>29.9</v>
      </c>
      <c r="M175" s="7">
        <v>374</v>
      </c>
      <c r="N175" s="7" t="e">
        <f>[1]!Tabelle1325[[#This Row],[Anzahl Frames]]/[1]!Tabelle1325[[#This Row],[Aufnahmezeit '[s']]]</f>
        <v>#VALUE!</v>
      </c>
      <c r="O175" s="6" t="e">
        <f>1/[1]!Tabelle1325[[#This Row],[Mean fps ]]</f>
        <v>#VALUE!</v>
      </c>
      <c r="P175" s="7">
        <v>40</v>
      </c>
      <c r="S175" s="7">
        <v>1.329</v>
      </c>
      <c r="T175" s="7">
        <v>1.1180000000000001</v>
      </c>
      <c r="U175" s="7">
        <v>1.7230000000000001</v>
      </c>
      <c r="V175" s="7"/>
      <c r="W175" s="7"/>
      <c r="X175" s="7"/>
      <c r="Y175" s="7"/>
      <c r="Z175" s="7"/>
      <c r="AA175" s="7"/>
      <c r="AB175" s="7"/>
      <c r="AC175" s="7" t="e">
        <f>Tabelle1321011121517[[#This Row],[SD 1]]/Tabelle1321011121517[[#This Row],[Mean Visc. 1 '[mPas']]]</f>
        <v>#DIV/0!</v>
      </c>
      <c r="AD175" s="7" t="e">
        <f>[1]!Tabelle1325[[#This Row],[SD 2]]/[1]!Tabelle1325[[#This Row],[Mean Visc. 2 '[mPas']2]]</f>
        <v>#VALUE!</v>
      </c>
      <c r="AE175" s="7" t="e">
        <f>[1]!Tabelle1325[[#This Row],[SD 3]]/[1]!Tabelle1325[[#This Row],[Mean Visc. 3 '[mPas']3]]</f>
        <v>#VALUE!</v>
      </c>
    </row>
    <row r="176" spans="1:31" ht="15" thickBot="1" x14ac:dyDescent="0.35">
      <c r="A176">
        <v>175</v>
      </c>
      <c r="B176" s="15"/>
      <c r="C176" s="16"/>
      <c r="D176" s="7">
        <v>9</v>
      </c>
      <c r="E176" t="s">
        <v>182</v>
      </c>
      <c r="F176" t="s">
        <v>193</v>
      </c>
      <c r="G176" s="24"/>
      <c r="H176" s="11" t="s">
        <v>185</v>
      </c>
      <c r="I176" s="9" t="s">
        <v>12</v>
      </c>
      <c r="J176" s="17">
        <v>23.9</v>
      </c>
      <c r="K176" s="17">
        <v>29</v>
      </c>
      <c r="L176" s="17">
        <v>30.56</v>
      </c>
      <c r="M176" s="17">
        <v>383</v>
      </c>
      <c r="N176" s="17" t="e">
        <f>[1]!Tabelle1325[[#This Row],[Anzahl Frames]]/[1]!Tabelle1325[[#This Row],[Aufnahmezeit '[s']]]</f>
        <v>#VALUE!</v>
      </c>
      <c r="O176" s="25" t="e">
        <f>1/[1]!Tabelle1325[[#This Row],[Mean fps ]]</f>
        <v>#VALUE!</v>
      </c>
      <c r="P176" s="17">
        <v>40</v>
      </c>
      <c r="Q176" s="20"/>
      <c r="R176" s="21"/>
      <c r="S176" s="17">
        <v>1.244</v>
      </c>
      <c r="T176" s="17">
        <v>1.097</v>
      </c>
      <c r="U176" s="17">
        <v>1.782</v>
      </c>
      <c r="V176" s="17"/>
      <c r="W176" s="17"/>
      <c r="X176" s="17"/>
      <c r="Y176" s="17"/>
      <c r="Z176" s="7"/>
      <c r="AA176" s="7"/>
      <c r="AB176" s="7"/>
      <c r="AC176" s="7" t="e">
        <f>Tabelle1321011121517[[#This Row],[SD 1]]/Tabelle1321011121517[[#This Row],[Mean Visc. 1 '[mPas']]]</f>
        <v>#DIV/0!</v>
      </c>
      <c r="AD176" s="7" t="e">
        <f>[1]!Tabelle1325[[#This Row],[SD 2]]/[1]!Tabelle1325[[#This Row],[Mean Visc. 2 '[mPas']2]]</f>
        <v>#VALUE!</v>
      </c>
      <c r="AE176" s="7" t="e">
        <f>[1]!Tabelle1325[[#This Row],[SD 3]]/[1]!Tabelle1325[[#This Row],[Mean Visc. 3 '[mPas']3]]</f>
        <v>#VALUE!</v>
      </c>
    </row>
    <row r="177" spans="1:31" ht="15" thickTop="1" x14ac:dyDescent="0.3">
      <c r="A177">
        <v>176</v>
      </c>
      <c r="B177" s="4"/>
      <c r="C177" s="5"/>
      <c r="D177" s="7">
        <v>9</v>
      </c>
      <c r="E177" t="s">
        <v>182</v>
      </c>
      <c r="F177" t="s">
        <v>193</v>
      </c>
      <c r="G177" s="23"/>
      <c r="H177" s="11" t="s">
        <v>185</v>
      </c>
      <c r="I177" s="9" t="s">
        <v>12</v>
      </c>
      <c r="J177" s="7">
        <v>24</v>
      </c>
      <c r="K177" s="7">
        <v>19</v>
      </c>
      <c r="L177" s="7">
        <v>30.56</v>
      </c>
      <c r="M177" s="7">
        <v>383</v>
      </c>
      <c r="N177" s="7" t="e">
        <f>[1]!Tabelle1325[[#This Row],[Anzahl Frames]]/[1]!Tabelle1325[[#This Row],[Aufnahmezeit '[s']]]</f>
        <v>#VALUE!</v>
      </c>
      <c r="O177" s="6" t="e">
        <f>1/[1]!Tabelle1325[[#This Row],[Mean fps ]]</f>
        <v>#VALUE!</v>
      </c>
      <c r="P177" s="7">
        <v>40</v>
      </c>
      <c r="S177" s="7">
        <v>1.556</v>
      </c>
      <c r="T177" s="7">
        <v>1.1910000000000001</v>
      </c>
      <c r="U177" s="7">
        <v>1.7110000000000001</v>
      </c>
      <c r="V177" s="7"/>
      <c r="W177" s="7"/>
      <c r="X177" s="7"/>
      <c r="Y177" s="7"/>
      <c r="Z177" s="7"/>
      <c r="AA177" s="7"/>
      <c r="AB177" s="7"/>
      <c r="AC177" s="7" t="e">
        <f>Tabelle1321011121517[[#This Row],[SD 1]]/Tabelle1321011121517[[#This Row],[Mean Visc. 1 '[mPas']]]</f>
        <v>#DIV/0!</v>
      </c>
      <c r="AD177" s="7" t="e">
        <f>[1]!Tabelle1325[[#This Row],[SD 2]]/[1]!Tabelle1325[[#This Row],[Mean Visc. 2 '[mPas']2]]</f>
        <v>#VALUE!</v>
      </c>
      <c r="AE177" s="7" t="e">
        <f>[1]!Tabelle1325[[#This Row],[SD 3]]/[1]!Tabelle1325[[#This Row],[Mean Visc. 3 '[mPas']3]]</f>
        <v>#VALUE!</v>
      </c>
    </row>
    <row r="178" spans="1:31" x14ac:dyDescent="0.3">
      <c r="A178">
        <v>177</v>
      </c>
      <c r="B178" s="4"/>
      <c r="C178" s="5"/>
      <c r="D178" s="7">
        <v>9</v>
      </c>
      <c r="E178" t="s">
        <v>182</v>
      </c>
      <c r="F178" t="s">
        <v>193</v>
      </c>
      <c r="G178" s="23"/>
      <c r="H178" s="11" t="s">
        <v>185</v>
      </c>
      <c r="I178" s="9" t="s">
        <v>12</v>
      </c>
      <c r="J178" s="7">
        <v>24</v>
      </c>
      <c r="K178" s="7">
        <v>19</v>
      </c>
      <c r="L178" s="7">
        <v>30.24</v>
      </c>
      <c r="M178" s="7">
        <v>379</v>
      </c>
      <c r="N178" s="7" t="e">
        <f>[1]!Tabelle1325[[#This Row],[Anzahl Frames]]/[1]!Tabelle1325[[#This Row],[Aufnahmezeit '[s']]]</f>
        <v>#VALUE!</v>
      </c>
      <c r="O178" s="6" t="e">
        <f>1/[1]!Tabelle1325[[#This Row],[Mean fps ]]</f>
        <v>#VALUE!</v>
      </c>
      <c r="P178" s="7">
        <v>40</v>
      </c>
      <c r="S178" s="7">
        <v>1.3740000000000001</v>
      </c>
      <c r="T178" s="7">
        <v>1.0940000000000001</v>
      </c>
      <c r="U178" s="7">
        <v>1.5640000000000001</v>
      </c>
      <c r="V178" s="7"/>
      <c r="W178" s="7"/>
      <c r="X178" s="7"/>
      <c r="Y178" s="7"/>
      <c r="Z178" s="7"/>
      <c r="AA178" s="7"/>
      <c r="AB178" s="7"/>
      <c r="AC178" s="7" t="e">
        <f>Tabelle1321011121517[[#This Row],[SD 1]]/Tabelle1321011121517[[#This Row],[Mean Visc. 1 '[mPas']]]</f>
        <v>#DIV/0!</v>
      </c>
      <c r="AD178" s="7" t="e">
        <f>[1]!Tabelle1325[[#This Row],[SD 2]]/[1]!Tabelle1325[[#This Row],[Mean Visc. 2 '[mPas']2]]</f>
        <v>#VALUE!</v>
      </c>
      <c r="AE178" s="7" t="e">
        <f>[1]!Tabelle1325[[#This Row],[SD 3]]/[1]!Tabelle1325[[#This Row],[Mean Visc. 3 '[mPas']3]]</f>
        <v>#VALUE!</v>
      </c>
    </row>
    <row r="179" spans="1:31" x14ac:dyDescent="0.3">
      <c r="A179">
        <v>178</v>
      </c>
      <c r="B179" s="4"/>
      <c r="C179" s="5"/>
      <c r="D179" s="7">
        <v>9</v>
      </c>
      <c r="E179" t="s">
        <v>182</v>
      </c>
      <c r="F179" t="s">
        <v>193</v>
      </c>
      <c r="G179" s="23"/>
      <c r="H179" s="11" t="s">
        <v>185</v>
      </c>
      <c r="I179" s="9" t="s">
        <v>12</v>
      </c>
      <c r="J179" s="7">
        <v>24.1</v>
      </c>
      <c r="K179" s="7">
        <v>19</v>
      </c>
      <c r="L179" s="7">
        <v>30.72</v>
      </c>
      <c r="M179" s="7">
        <v>385</v>
      </c>
      <c r="N179" s="7" t="e">
        <f>[1]!Tabelle1325[[#This Row],[Anzahl Frames]]/[1]!Tabelle1325[[#This Row],[Aufnahmezeit '[s']]]</f>
        <v>#VALUE!</v>
      </c>
      <c r="O179" s="6" t="e">
        <f>1/[1]!Tabelle1325[[#This Row],[Mean fps ]]</f>
        <v>#VALUE!</v>
      </c>
      <c r="P179" s="7">
        <v>40</v>
      </c>
      <c r="S179" s="7">
        <v>1.399</v>
      </c>
      <c r="T179" s="7">
        <v>1.1319999999999999</v>
      </c>
      <c r="U179" s="7">
        <v>1.7889999999999999</v>
      </c>
      <c r="V179" s="7"/>
      <c r="W179" s="7"/>
      <c r="X179" s="7"/>
      <c r="Y179" s="7"/>
      <c r="Z179" s="7"/>
      <c r="AA179" s="7"/>
      <c r="AB179" s="7"/>
      <c r="AC179" s="7" t="e">
        <f>Tabelle1321011121517[[#This Row],[SD 1]]/Tabelle1321011121517[[#This Row],[Mean Visc. 1 '[mPas']]]</f>
        <v>#DIV/0!</v>
      </c>
      <c r="AD179" s="7" t="e">
        <f>[1]!Tabelle1325[[#This Row],[SD 2]]/[1]!Tabelle1325[[#This Row],[Mean Visc. 2 '[mPas']2]]</f>
        <v>#VALUE!</v>
      </c>
      <c r="AE179" s="7" t="e">
        <f>[1]!Tabelle1325[[#This Row],[SD 3]]/[1]!Tabelle1325[[#This Row],[Mean Visc. 3 '[mPas']3]]</f>
        <v>#VALUE!</v>
      </c>
    </row>
    <row r="180" spans="1:31" x14ac:dyDescent="0.3">
      <c r="A180">
        <v>179</v>
      </c>
      <c r="B180" s="4"/>
      <c r="C180" s="5"/>
      <c r="D180" s="7">
        <v>9</v>
      </c>
      <c r="E180" t="s">
        <v>182</v>
      </c>
      <c r="F180" t="s">
        <v>193</v>
      </c>
      <c r="G180" s="23"/>
      <c r="H180" s="11" t="s">
        <v>185</v>
      </c>
      <c r="I180" s="9" t="s">
        <v>12</v>
      </c>
      <c r="J180" s="7">
        <v>24.1</v>
      </c>
      <c r="K180" s="7">
        <v>19</v>
      </c>
      <c r="L180" s="7">
        <v>30.64</v>
      </c>
      <c r="M180" s="7">
        <v>383</v>
      </c>
      <c r="N180" s="7" t="e">
        <f>[1]!Tabelle1325[[#This Row],[Anzahl Frames]]/[1]!Tabelle1325[[#This Row],[Aufnahmezeit '[s']]]</f>
        <v>#VALUE!</v>
      </c>
      <c r="O180" s="6" t="e">
        <f>1/[1]!Tabelle1325[[#This Row],[Mean fps ]]</f>
        <v>#VALUE!</v>
      </c>
      <c r="P180" s="7">
        <v>40</v>
      </c>
      <c r="S180" s="7">
        <v>1.425</v>
      </c>
      <c r="T180" s="7">
        <v>1.216</v>
      </c>
      <c r="U180" s="7">
        <v>1.75</v>
      </c>
      <c r="V180" s="7"/>
      <c r="W180" s="7"/>
      <c r="X180" s="7"/>
      <c r="Y180" s="7"/>
      <c r="Z180" s="7"/>
      <c r="AA180" s="7"/>
      <c r="AB180" s="7"/>
      <c r="AC180" s="7" t="e">
        <f>Tabelle1321011121517[[#This Row],[SD 1]]/Tabelle1321011121517[[#This Row],[Mean Visc. 1 '[mPas']]]</f>
        <v>#DIV/0!</v>
      </c>
      <c r="AD180" s="7" t="e">
        <f>[1]!Tabelle1325[[#This Row],[SD 2]]/[1]!Tabelle1325[[#This Row],[Mean Visc. 2 '[mPas']2]]</f>
        <v>#VALUE!</v>
      </c>
      <c r="AE180" s="7" t="e">
        <f>[1]!Tabelle1325[[#This Row],[SD 3]]/[1]!Tabelle1325[[#This Row],[Mean Visc. 3 '[mPas']3]]</f>
        <v>#VALUE!</v>
      </c>
    </row>
    <row r="181" spans="1:31" x14ac:dyDescent="0.3">
      <c r="A181">
        <v>180</v>
      </c>
      <c r="B181" s="4"/>
      <c r="C181" s="5"/>
      <c r="D181" s="7">
        <v>9</v>
      </c>
      <c r="E181" t="s">
        <v>182</v>
      </c>
      <c r="F181" t="s">
        <v>193</v>
      </c>
      <c r="G181" s="23"/>
      <c r="H181" s="11" t="s">
        <v>185</v>
      </c>
      <c r="I181" s="9" t="s">
        <v>12</v>
      </c>
      <c r="J181" s="7">
        <v>24.1</v>
      </c>
      <c r="K181" s="7">
        <v>19</v>
      </c>
      <c r="L181" s="7">
        <v>29.74</v>
      </c>
      <c r="M181" s="7">
        <v>372</v>
      </c>
      <c r="N181" s="7" t="e">
        <f>[1]!Tabelle1325[[#This Row],[Anzahl Frames]]/[1]!Tabelle1325[[#This Row],[Aufnahmezeit '[s']]]</f>
        <v>#VALUE!</v>
      </c>
      <c r="O181" s="6" t="e">
        <f>1/[1]!Tabelle1325[[#This Row],[Mean fps ]]</f>
        <v>#VALUE!</v>
      </c>
      <c r="S181" s="7">
        <v>1.4</v>
      </c>
      <c r="T181" s="7">
        <v>1.1419999999999999</v>
      </c>
      <c r="U181" s="7">
        <v>1.786</v>
      </c>
      <c r="V181" s="7"/>
      <c r="W181" s="7">
        <f>SUM(S172:S181)/10</f>
        <v>1.3596000000000001</v>
      </c>
      <c r="X181" s="7">
        <f t="shared" ref="X181" si="34">SUM(T172:T181)/10</f>
        <v>1.1257999999999999</v>
      </c>
      <c r="Y181" s="7">
        <f t="shared" ref="Y181" si="35">SUM(U172:U181)/10</f>
        <v>1.7075</v>
      </c>
      <c r="Z181" s="7"/>
      <c r="AA181" s="7"/>
      <c r="AB181" s="7"/>
      <c r="AC181" s="7">
        <f>Tabelle1321011121517[[#This Row],[SD 1]]/Tabelle1321011121517[[#This Row],[Mean Visc. 1 '[mPas']]]</f>
        <v>0</v>
      </c>
      <c r="AD181" s="7" t="e">
        <f>[1]!Tabelle1325[[#This Row],[SD 2]]/[1]!Tabelle1325[[#This Row],[Mean Visc. 2 '[mPas']2]]</f>
        <v>#VALUE!</v>
      </c>
      <c r="AE181" s="7" t="e">
        <f>[1]!Tabelle1325[[#This Row],[SD 3]]/[1]!Tabelle1325[[#This Row],[Mean Visc. 3 '[mPas']3]]</f>
        <v>#VALUE!</v>
      </c>
    </row>
    <row r="182" spans="1:31" x14ac:dyDescent="0.3">
      <c r="A182">
        <v>181</v>
      </c>
      <c r="B182" s="4"/>
      <c r="C182" s="5"/>
      <c r="D182" s="7">
        <v>10</v>
      </c>
      <c r="E182" t="s">
        <v>182</v>
      </c>
      <c r="F182" t="s">
        <v>194</v>
      </c>
      <c r="G182" s="23"/>
      <c r="H182" s="11" t="s">
        <v>160</v>
      </c>
      <c r="I182" s="9" t="s">
        <v>12</v>
      </c>
      <c r="J182" s="7">
        <v>23.8</v>
      </c>
      <c r="K182" s="7">
        <v>10</v>
      </c>
      <c r="L182" s="7">
        <v>30.25</v>
      </c>
      <c r="M182" s="7">
        <v>382</v>
      </c>
      <c r="N182" s="7" t="e">
        <f>[1]!Tabelle1325[[#This Row],[Anzahl Frames]]/[1]!Tabelle1325[[#This Row],[Aufnahmezeit '[s']]]</f>
        <v>#VALUE!</v>
      </c>
      <c r="O182" s="6" t="e">
        <f>1/[1]!Tabelle1325[[#This Row],[Mean fps ]]</f>
        <v>#VALUE!</v>
      </c>
      <c r="P182" s="7">
        <v>40</v>
      </c>
      <c r="S182" s="7">
        <v>1.163</v>
      </c>
      <c r="T182" s="7">
        <v>0.98499999999999999</v>
      </c>
      <c r="U182" s="7">
        <v>1.7050000000000001</v>
      </c>
      <c r="V182" s="7"/>
      <c r="W182" s="7"/>
      <c r="X182" s="7"/>
      <c r="Y182" s="7"/>
      <c r="Z182" s="7"/>
      <c r="AA182" s="7"/>
      <c r="AB182" s="7"/>
      <c r="AC182" s="7" t="e">
        <f>Tabelle1321011121517[[#This Row],[SD 1]]/Tabelle1321011121517[[#This Row],[Mean Visc. 1 '[mPas']]]</f>
        <v>#DIV/0!</v>
      </c>
      <c r="AD182" s="7" t="e">
        <f>[1]!Tabelle1325[[#This Row],[SD 2]]/[1]!Tabelle1325[[#This Row],[Mean Visc. 2 '[mPas']2]]</f>
        <v>#VALUE!</v>
      </c>
      <c r="AE182" s="7" t="e">
        <f>[1]!Tabelle1325[[#This Row],[SD 3]]/[1]!Tabelle1325[[#This Row],[Mean Visc. 3 '[mPas']3]]</f>
        <v>#VALUE!</v>
      </c>
    </row>
    <row r="183" spans="1:31" x14ac:dyDescent="0.3">
      <c r="A183">
        <v>182</v>
      </c>
      <c r="B183" s="4"/>
      <c r="C183" s="5"/>
      <c r="D183" s="7">
        <v>10</v>
      </c>
      <c r="E183" t="s">
        <v>182</v>
      </c>
      <c r="F183" t="s">
        <v>194</v>
      </c>
      <c r="G183" s="23"/>
      <c r="H183" s="11" t="s">
        <v>160</v>
      </c>
      <c r="I183" s="9" t="s">
        <v>12</v>
      </c>
      <c r="J183" s="7">
        <v>23.8</v>
      </c>
      <c r="K183" s="7">
        <v>10</v>
      </c>
      <c r="L183" s="7">
        <v>30.24</v>
      </c>
      <c r="M183" s="7">
        <v>378</v>
      </c>
      <c r="N183" s="7" t="e">
        <f>[1]!Tabelle1325[[#This Row],[Anzahl Frames]]/[1]!Tabelle1325[[#This Row],[Aufnahmezeit '[s']]]</f>
        <v>#VALUE!</v>
      </c>
      <c r="O183" s="6" t="e">
        <f>1/[1]!Tabelle1325[[#This Row],[Mean fps ]]</f>
        <v>#VALUE!</v>
      </c>
      <c r="P183" s="7">
        <v>40</v>
      </c>
      <c r="S183" s="7">
        <v>1.119</v>
      </c>
      <c r="T183" s="7">
        <v>0.999</v>
      </c>
      <c r="U183" s="7">
        <v>1.6850000000000001</v>
      </c>
      <c r="V183" s="7"/>
      <c r="W183" s="7"/>
      <c r="X183" s="7"/>
      <c r="Y183" s="7"/>
      <c r="Z183" s="7"/>
      <c r="AA183" s="7"/>
      <c r="AB183" s="7"/>
      <c r="AC183" s="7" t="e">
        <f>Tabelle1321011121517[[#This Row],[SD 1]]/Tabelle1321011121517[[#This Row],[Mean Visc. 1 '[mPas']]]</f>
        <v>#DIV/0!</v>
      </c>
      <c r="AD183" s="7" t="e">
        <f>[1]!Tabelle1325[[#This Row],[SD 2]]/[1]!Tabelle1325[[#This Row],[Mean Visc. 2 '[mPas']2]]</f>
        <v>#VALUE!</v>
      </c>
      <c r="AE183" s="7" t="e">
        <f>[1]!Tabelle1325[[#This Row],[SD 3]]/[1]!Tabelle1325[[#This Row],[Mean Visc. 3 '[mPas']3]]</f>
        <v>#VALUE!</v>
      </c>
    </row>
    <row r="184" spans="1:31" x14ac:dyDescent="0.3">
      <c r="A184">
        <v>183</v>
      </c>
      <c r="B184" s="4"/>
      <c r="C184" s="5"/>
      <c r="D184" s="7">
        <v>10</v>
      </c>
      <c r="E184" t="s">
        <v>182</v>
      </c>
      <c r="F184" t="s">
        <v>194</v>
      </c>
      <c r="G184" s="23"/>
      <c r="H184" s="11" t="s">
        <v>160</v>
      </c>
      <c r="I184" s="9" t="s">
        <v>12</v>
      </c>
      <c r="J184" s="7">
        <v>23.8</v>
      </c>
      <c r="K184" s="7">
        <v>10</v>
      </c>
      <c r="L184" s="7">
        <v>31.68</v>
      </c>
      <c r="M184" s="7">
        <v>396</v>
      </c>
      <c r="N184" s="7" t="e">
        <f>[1]!Tabelle1325[[#This Row],[Anzahl Frames]]/[1]!Tabelle1325[[#This Row],[Aufnahmezeit '[s']]]</f>
        <v>#VALUE!</v>
      </c>
      <c r="O184" s="6" t="e">
        <f>1/[1]!Tabelle1325[[#This Row],[Mean fps ]]</f>
        <v>#VALUE!</v>
      </c>
      <c r="P184" s="7">
        <v>40</v>
      </c>
      <c r="S184" s="7">
        <v>1.1020000000000001</v>
      </c>
      <c r="T184" s="7">
        <v>0.92200000000000004</v>
      </c>
      <c r="U184" s="7">
        <v>1.6040000000000001</v>
      </c>
      <c r="V184" s="7"/>
      <c r="W184" s="7"/>
      <c r="X184" s="7"/>
      <c r="Y184" s="7"/>
      <c r="Z184" s="7"/>
      <c r="AA184" s="7"/>
      <c r="AB184" s="7"/>
      <c r="AC184" s="7" t="e">
        <f>Tabelle1321011121517[[#This Row],[SD 1]]/Tabelle1321011121517[[#This Row],[Mean Visc. 1 '[mPas']]]</f>
        <v>#DIV/0!</v>
      </c>
      <c r="AD184" s="7" t="e">
        <f>[1]!Tabelle1325[[#This Row],[SD 2]]/[1]!Tabelle1325[[#This Row],[Mean Visc. 2 '[mPas']2]]</f>
        <v>#VALUE!</v>
      </c>
      <c r="AE184" s="7" t="e">
        <f>[1]!Tabelle1325[[#This Row],[SD 3]]/[1]!Tabelle1325[[#This Row],[Mean Visc. 3 '[mPas']3]]</f>
        <v>#VALUE!</v>
      </c>
    </row>
    <row r="185" spans="1:31" x14ac:dyDescent="0.3">
      <c r="A185">
        <v>184</v>
      </c>
      <c r="B185" s="4"/>
      <c r="C185" s="5"/>
      <c r="D185" s="7">
        <v>10</v>
      </c>
      <c r="E185" t="s">
        <v>182</v>
      </c>
      <c r="F185" t="s">
        <v>194</v>
      </c>
      <c r="G185" s="23"/>
      <c r="H185" s="11" t="s">
        <v>160</v>
      </c>
      <c r="I185" s="9" t="s">
        <v>12</v>
      </c>
      <c r="J185" s="7">
        <v>23.9</v>
      </c>
      <c r="K185" s="7">
        <v>10</v>
      </c>
      <c r="L185" s="7">
        <v>31.6</v>
      </c>
      <c r="M185" s="7">
        <v>395</v>
      </c>
      <c r="N185" s="7" t="e">
        <f>[1]!Tabelle1325[[#This Row],[Anzahl Frames]]/[1]!Tabelle1325[[#This Row],[Aufnahmezeit '[s']]]</f>
        <v>#VALUE!</v>
      </c>
      <c r="O185" s="6" t="e">
        <f>1/[1]!Tabelle1325[[#This Row],[Mean fps ]]</f>
        <v>#VALUE!</v>
      </c>
      <c r="P185" s="7">
        <v>40</v>
      </c>
      <c r="S185" s="7">
        <v>1.0369999999999999</v>
      </c>
      <c r="T185" s="7">
        <v>0.84699999999999998</v>
      </c>
      <c r="U185" s="7">
        <v>1.5620000000000001</v>
      </c>
      <c r="V185" s="7"/>
      <c r="W185" s="7"/>
      <c r="X185" s="7"/>
      <c r="Y185" s="7"/>
      <c r="Z185" s="7"/>
      <c r="AA185" s="7"/>
      <c r="AB185" s="7"/>
      <c r="AC185" s="7" t="e">
        <f>Tabelle1321011121517[[#This Row],[SD 1]]/Tabelle1321011121517[[#This Row],[Mean Visc. 1 '[mPas']]]</f>
        <v>#DIV/0!</v>
      </c>
      <c r="AD185" s="7" t="e">
        <f>[1]!Tabelle1325[[#This Row],[SD 2]]/[1]!Tabelle1325[[#This Row],[Mean Visc. 2 '[mPas']2]]</f>
        <v>#VALUE!</v>
      </c>
      <c r="AE185" s="7" t="e">
        <f>[1]!Tabelle1325[[#This Row],[SD 3]]/[1]!Tabelle1325[[#This Row],[Mean Visc. 3 '[mPas']3]]</f>
        <v>#VALUE!</v>
      </c>
    </row>
    <row r="186" spans="1:31" ht="15" thickBot="1" x14ac:dyDescent="0.35">
      <c r="A186">
        <v>185</v>
      </c>
      <c r="B186" s="15"/>
      <c r="C186" s="16"/>
      <c r="D186" s="7">
        <v>10</v>
      </c>
      <c r="E186" t="s">
        <v>182</v>
      </c>
      <c r="F186" t="s">
        <v>194</v>
      </c>
      <c r="G186" s="24"/>
      <c r="H186" s="11" t="s">
        <v>160</v>
      </c>
      <c r="I186" s="9" t="s">
        <v>12</v>
      </c>
      <c r="J186" s="17">
        <v>24</v>
      </c>
      <c r="K186" s="17">
        <v>10</v>
      </c>
      <c r="L186" s="17">
        <v>30.9</v>
      </c>
      <c r="M186" s="17">
        <v>386</v>
      </c>
      <c r="N186" s="17" t="e">
        <f>[1]!Tabelle1325[[#This Row],[Anzahl Frames]]/[1]!Tabelle1325[[#This Row],[Aufnahmezeit '[s']]]</f>
        <v>#VALUE!</v>
      </c>
      <c r="O186" s="25" t="e">
        <f>1/[1]!Tabelle1325[[#This Row],[Mean fps ]]</f>
        <v>#VALUE!</v>
      </c>
      <c r="P186" s="17">
        <v>40</v>
      </c>
      <c r="Q186" s="20"/>
      <c r="R186" s="21"/>
      <c r="S186" s="17">
        <v>1.143</v>
      </c>
      <c r="T186" s="17">
        <v>0.99</v>
      </c>
      <c r="U186" s="17">
        <v>1.6020000000000001</v>
      </c>
      <c r="V186" s="17"/>
      <c r="W186" s="17"/>
      <c r="X186" s="17"/>
      <c r="Y186" s="17"/>
      <c r="Z186" s="7"/>
      <c r="AA186" s="7"/>
      <c r="AB186" s="7"/>
      <c r="AC186" s="7" t="e">
        <f>Tabelle1321011121517[[#This Row],[SD 1]]/Tabelle1321011121517[[#This Row],[Mean Visc. 1 '[mPas']]]</f>
        <v>#DIV/0!</v>
      </c>
      <c r="AD186" s="7" t="e">
        <f>[1]!Tabelle1325[[#This Row],[SD 2]]/[1]!Tabelle1325[[#This Row],[Mean Visc. 2 '[mPas']2]]</f>
        <v>#VALUE!</v>
      </c>
      <c r="AE186" s="7" t="e">
        <f>[1]!Tabelle1325[[#This Row],[SD 3]]/[1]!Tabelle1325[[#This Row],[Mean Visc. 3 '[mPas']3]]</f>
        <v>#VALUE!</v>
      </c>
    </row>
    <row r="187" spans="1:31" ht="15" thickTop="1" x14ac:dyDescent="0.3">
      <c r="A187">
        <v>186</v>
      </c>
      <c r="B187" s="4"/>
      <c r="C187" s="5"/>
      <c r="D187" s="7">
        <v>10</v>
      </c>
      <c r="E187" t="s">
        <v>182</v>
      </c>
      <c r="F187" t="s">
        <v>194</v>
      </c>
      <c r="G187" s="23"/>
      <c r="H187" s="11" t="s">
        <v>160</v>
      </c>
      <c r="I187" s="9" t="s">
        <v>12</v>
      </c>
      <c r="J187" s="7">
        <v>24</v>
      </c>
      <c r="K187" s="7">
        <v>10</v>
      </c>
      <c r="L187" s="7">
        <v>30.74</v>
      </c>
      <c r="M187" s="7">
        <v>384</v>
      </c>
      <c r="N187" s="7" t="e">
        <f>[1]!Tabelle1325[[#This Row],[Anzahl Frames]]/[1]!Tabelle1325[[#This Row],[Aufnahmezeit '[s']]]</f>
        <v>#VALUE!</v>
      </c>
      <c r="O187" s="6" t="e">
        <f>1/[1]!Tabelle1325[[#This Row],[Mean fps ]]</f>
        <v>#VALUE!</v>
      </c>
      <c r="P187" s="7">
        <v>40</v>
      </c>
      <c r="S187" s="7">
        <v>1.159</v>
      </c>
      <c r="T187" s="7">
        <v>0.93899999999999995</v>
      </c>
      <c r="U187" s="7">
        <v>1.619</v>
      </c>
      <c r="V187" s="7"/>
      <c r="W187" s="7"/>
      <c r="X187" s="7"/>
      <c r="Y187" s="7"/>
      <c r="Z187" s="7"/>
      <c r="AA187" s="7"/>
      <c r="AB187" s="7"/>
      <c r="AC187" s="7" t="e">
        <f>Tabelle1321011121517[[#This Row],[SD 1]]/Tabelle1321011121517[[#This Row],[Mean Visc. 1 '[mPas']]]</f>
        <v>#DIV/0!</v>
      </c>
      <c r="AD187" s="7" t="e">
        <f>[1]!Tabelle1325[[#This Row],[SD 2]]/[1]!Tabelle1325[[#This Row],[Mean Visc. 2 '[mPas']2]]</f>
        <v>#VALUE!</v>
      </c>
      <c r="AE187" s="7" t="e">
        <f>[1]!Tabelle1325[[#This Row],[SD 3]]/[1]!Tabelle1325[[#This Row],[Mean Visc. 3 '[mPas']3]]</f>
        <v>#VALUE!</v>
      </c>
    </row>
    <row r="188" spans="1:31" x14ac:dyDescent="0.3">
      <c r="A188">
        <v>187</v>
      </c>
      <c r="B188" s="4"/>
      <c r="C188" s="5"/>
      <c r="D188" s="7">
        <v>10</v>
      </c>
      <c r="E188" t="s">
        <v>182</v>
      </c>
      <c r="F188" t="s">
        <v>194</v>
      </c>
      <c r="G188" s="23"/>
      <c r="H188" s="11" t="s">
        <v>160</v>
      </c>
      <c r="I188" s="9" t="s">
        <v>12</v>
      </c>
      <c r="J188" s="7">
        <v>24.1</v>
      </c>
      <c r="K188" s="7">
        <v>10</v>
      </c>
      <c r="L188" s="7">
        <v>29.6</v>
      </c>
      <c r="M188" s="7">
        <v>371</v>
      </c>
      <c r="N188" s="7" t="e">
        <f>[1]!Tabelle1325[[#This Row],[Anzahl Frames]]/[1]!Tabelle1325[[#This Row],[Aufnahmezeit '[s']]]</f>
        <v>#VALUE!</v>
      </c>
      <c r="O188" s="6" t="e">
        <f>1/[1]!Tabelle1325[[#This Row],[Mean fps ]]</f>
        <v>#VALUE!</v>
      </c>
      <c r="P188" s="7">
        <v>40</v>
      </c>
      <c r="S188" s="7">
        <v>1.103</v>
      </c>
      <c r="T188" s="7">
        <v>0.97199999999999998</v>
      </c>
      <c r="U188" s="7">
        <v>1.6259999999999999</v>
      </c>
      <c r="V188" s="7"/>
      <c r="W188" s="7"/>
      <c r="X188" s="7"/>
      <c r="Y188" s="7"/>
      <c r="Z188" s="7"/>
      <c r="AA188" s="7"/>
      <c r="AB188" s="7"/>
      <c r="AC188" s="7" t="e">
        <f>Tabelle1321011121517[[#This Row],[SD 1]]/Tabelle1321011121517[[#This Row],[Mean Visc. 1 '[mPas']]]</f>
        <v>#DIV/0!</v>
      </c>
      <c r="AD188" s="7" t="e">
        <f>[1]!Tabelle1325[[#This Row],[SD 2]]/[1]!Tabelle1325[[#This Row],[Mean Visc. 2 '[mPas']2]]</f>
        <v>#VALUE!</v>
      </c>
      <c r="AE188" s="7" t="e">
        <f>[1]!Tabelle1325[[#This Row],[SD 3]]/[1]!Tabelle1325[[#This Row],[Mean Visc. 3 '[mPas']3]]</f>
        <v>#VALUE!</v>
      </c>
    </row>
    <row r="189" spans="1:31" x14ac:dyDescent="0.3">
      <c r="A189">
        <v>188</v>
      </c>
      <c r="B189" s="4"/>
      <c r="C189" s="5"/>
      <c r="D189" s="7">
        <v>10</v>
      </c>
      <c r="E189" t="s">
        <v>182</v>
      </c>
      <c r="F189" t="s">
        <v>194</v>
      </c>
      <c r="G189" s="23"/>
      <c r="H189" s="11" t="s">
        <v>160</v>
      </c>
      <c r="I189" s="9" t="s">
        <v>12</v>
      </c>
      <c r="J189" s="7">
        <v>24.2</v>
      </c>
      <c r="K189" s="7">
        <v>10</v>
      </c>
      <c r="L189" s="7">
        <v>32.229999999999997</v>
      </c>
      <c r="M189" s="7">
        <v>403</v>
      </c>
      <c r="N189" s="7" t="e">
        <f>[1]!Tabelle1325[[#This Row],[Anzahl Frames]]/[1]!Tabelle1325[[#This Row],[Aufnahmezeit '[s']]]</f>
        <v>#VALUE!</v>
      </c>
      <c r="O189" s="6" t="e">
        <f>1/[1]!Tabelle1325[[#This Row],[Mean fps ]]</f>
        <v>#VALUE!</v>
      </c>
      <c r="P189" s="7">
        <v>40</v>
      </c>
      <c r="S189" s="7">
        <v>1.0860000000000001</v>
      </c>
      <c r="T189" s="7">
        <v>0.97099999999999997</v>
      </c>
      <c r="U189" s="7">
        <v>1.6559999999999999</v>
      </c>
      <c r="V189" s="7"/>
      <c r="W189" s="7"/>
      <c r="X189" s="7"/>
      <c r="Y189" s="7"/>
      <c r="Z189" s="7"/>
      <c r="AA189" s="7"/>
      <c r="AB189" s="7"/>
      <c r="AC189" s="7" t="e">
        <f>Tabelle1321011121517[[#This Row],[SD 1]]/Tabelle1321011121517[[#This Row],[Mean Visc. 1 '[mPas']]]</f>
        <v>#DIV/0!</v>
      </c>
      <c r="AD189" s="7" t="e">
        <f>[1]!Tabelle1325[[#This Row],[SD 2]]/[1]!Tabelle1325[[#This Row],[Mean Visc. 2 '[mPas']2]]</f>
        <v>#VALUE!</v>
      </c>
      <c r="AE189" s="7" t="e">
        <f>[1]!Tabelle1325[[#This Row],[SD 3]]/[1]!Tabelle1325[[#This Row],[Mean Visc. 3 '[mPas']3]]</f>
        <v>#VALUE!</v>
      </c>
    </row>
    <row r="190" spans="1:31" x14ac:dyDescent="0.3">
      <c r="A190">
        <v>189</v>
      </c>
      <c r="B190" s="4"/>
      <c r="C190" s="5"/>
      <c r="D190" s="7">
        <v>10</v>
      </c>
      <c r="E190" t="s">
        <v>182</v>
      </c>
      <c r="F190" t="s">
        <v>194</v>
      </c>
      <c r="G190" s="23"/>
      <c r="H190" s="11" t="s">
        <v>160</v>
      </c>
      <c r="I190" s="9" t="s">
        <v>12</v>
      </c>
      <c r="J190" s="7">
        <v>24.2</v>
      </c>
      <c r="K190" s="7">
        <v>10</v>
      </c>
      <c r="L190" s="7">
        <v>30.24</v>
      </c>
      <c r="M190" s="7">
        <v>378</v>
      </c>
      <c r="N190" s="7" t="e">
        <f>[1]!Tabelle1325[[#This Row],[Anzahl Frames]]/[1]!Tabelle1325[[#This Row],[Aufnahmezeit '[s']]]</f>
        <v>#VALUE!</v>
      </c>
      <c r="O190" s="6" t="e">
        <f>1/[1]!Tabelle1325[[#This Row],[Mean fps ]]</f>
        <v>#VALUE!</v>
      </c>
      <c r="P190" s="7">
        <v>40</v>
      </c>
      <c r="S190" s="7">
        <v>1.2529999999999999</v>
      </c>
      <c r="T190" s="7">
        <v>1.024</v>
      </c>
      <c r="U190" s="7">
        <v>1.7430000000000001</v>
      </c>
      <c r="V190" s="7"/>
      <c r="W190" s="7"/>
      <c r="X190" s="7"/>
      <c r="Y190" s="7"/>
      <c r="Z190" s="7"/>
      <c r="AA190" s="7"/>
      <c r="AB190" s="7"/>
      <c r="AC190" s="7" t="e">
        <f>Tabelle1321011121517[[#This Row],[SD 1]]/Tabelle1321011121517[[#This Row],[Mean Visc. 1 '[mPas']]]</f>
        <v>#DIV/0!</v>
      </c>
      <c r="AD190" s="7" t="e">
        <f>[1]!Tabelle1325[[#This Row],[SD 2]]/[1]!Tabelle1325[[#This Row],[Mean Visc. 2 '[mPas']2]]</f>
        <v>#VALUE!</v>
      </c>
      <c r="AE190" s="7" t="e">
        <f>[1]!Tabelle1325[[#This Row],[SD 3]]/[1]!Tabelle1325[[#This Row],[Mean Visc. 3 '[mPas']3]]</f>
        <v>#VALUE!</v>
      </c>
    </row>
    <row r="191" spans="1:31" ht="15" thickBot="1" x14ac:dyDescent="0.35">
      <c r="A191">
        <v>190</v>
      </c>
      <c r="B191" s="15"/>
      <c r="C191" s="16"/>
      <c r="D191" s="7">
        <v>10</v>
      </c>
      <c r="E191" t="s">
        <v>182</v>
      </c>
      <c r="F191" t="s">
        <v>194</v>
      </c>
      <c r="G191" s="24"/>
      <c r="H191" s="11" t="s">
        <v>160</v>
      </c>
      <c r="I191" s="9" t="s">
        <v>12</v>
      </c>
      <c r="J191" s="17">
        <v>24.3</v>
      </c>
      <c r="K191" s="17">
        <v>10</v>
      </c>
      <c r="L191" s="17">
        <v>30.56</v>
      </c>
      <c r="M191" s="17">
        <v>382</v>
      </c>
      <c r="N191" s="17" t="e">
        <f>[1]!Tabelle1325[[#This Row],[Anzahl Frames]]/[1]!Tabelle1325[[#This Row],[Aufnahmezeit '[s']]]</f>
        <v>#VALUE!</v>
      </c>
      <c r="O191" s="25" t="e">
        <f>1/[1]!Tabelle1325[[#This Row],[Mean fps ]]</f>
        <v>#VALUE!</v>
      </c>
      <c r="P191" s="17">
        <v>40</v>
      </c>
      <c r="Q191" s="20"/>
      <c r="R191" s="21"/>
      <c r="S191" s="17">
        <v>1.0580000000000001</v>
      </c>
      <c r="T191" s="17">
        <v>0.93799999999999994</v>
      </c>
      <c r="U191" s="17">
        <v>1.609</v>
      </c>
      <c r="V191" s="17"/>
      <c r="W191" s="7">
        <f>SUM(S182:S191)/10</f>
        <v>1.1222999999999999</v>
      </c>
      <c r="X191" s="7">
        <f t="shared" ref="X191" si="36">SUM(T182:T191)/10</f>
        <v>0.95870000000000011</v>
      </c>
      <c r="Y191" s="7">
        <f t="shared" ref="Y191" si="37">SUM(U182:U191)/10</f>
        <v>1.6411000000000002</v>
      </c>
      <c r="Z191" s="7"/>
      <c r="AA191" s="7"/>
      <c r="AB191" s="7"/>
      <c r="AC191" s="7">
        <f>Tabelle1321011121517[[#This Row],[SD 1]]/Tabelle1321011121517[[#This Row],[Mean Visc. 1 '[mPas']]]</f>
        <v>0</v>
      </c>
      <c r="AD191" s="7" t="e">
        <f>[1]!Tabelle1325[[#This Row],[SD 2]]/[1]!Tabelle1325[[#This Row],[Mean Visc. 2 '[mPas']2]]</f>
        <v>#VALUE!</v>
      </c>
      <c r="AE191" s="7" t="e">
        <f>[1]!Tabelle1325[[#This Row],[SD 3]]/[1]!Tabelle1325[[#This Row],[Mean Visc. 3 '[mPas']3]]</f>
        <v>#VALUE!</v>
      </c>
    </row>
    <row r="192" spans="1:31" ht="15" thickTop="1" x14ac:dyDescent="0.3">
      <c r="A192">
        <v>191</v>
      </c>
      <c r="B192" s="4"/>
      <c r="C192" s="5"/>
      <c r="D192" s="7">
        <v>10</v>
      </c>
      <c r="E192" t="s">
        <v>182</v>
      </c>
      <c r="F192" t="s">
        <v>195</v>
      </c>
      <c r="G192" s="23"/>
      <c r="H192" s="11" t="s">
        <v>185</v>
      </c>
      <c r="I192" s="9" t="s">
        <v>12</v>
      </c>
      <c r="J192" s="7">
        <v>22.9</v>
      </c>
      <c r="K192" s="7">
        <v>10</v>
      </c>
      <c r="L192" s="7">
        <v>29.78</v>
      </c>
      <c r="M192" s="7">
        <v>376</v>
      </c>
      <c r="N192" s="7" t="e">
        <f>[1]!Tabelle1325[[#This Row],[Anzahl Frames]]/[1]!Tabelle1325[[#This Row],[Aufnahmezeit '[s']]]</f>
        <v>#VALUE!</v>
      </c>
      <c r="O192" s="6" t="e">
        <f>1/[1]!Tabelle1325[[#This Row],[Mean fps ]]</f>
        <v>#VALUE!</v>
      </c>
      <c r="P192" s="7">
        <v>40</v>
      </c>
      <c r="S192" s="7">
        <v>1.0900000000000001</v>
      </c>
      <c r="T192" s="7">
        <v>0.998</v>
      </c>
      <c r="U192" s="7">
        <v>1.556</v>
      </c>
      <c r="V192" s="7"/>
      <c r="W192" s="7"/>
      <c r="X192" s="7"/>
      <c r="Y192" s="7"/>
      <c r="Z192" s="7"/>
      <c r="AA192" s="7"/>
      <c r="AB192" s="7"/>
      <c r="AC192" s="7" t="e">
        <f>Tabelle1321011121517[[#This Row],[SD 1]]/Tabelle1321011121517[[#This Row],[Mean Visc. 1 '[mPas']]]</f>
        <v>#DIV/0!</v>
      </c>
      <c r="AD192" s="7" t="e">
        <f>[1]!Tabelle1325[[#This Row],[SD 2]]/[1]!Tabelle1325[[#This Row],[Mean Visc. 2 '[mPas']2]]</f>
        <v>#VALUE!</v>
      </c>
      <c r="AE192" s="7" t="e">
        <f>[1]!Tabelle1325[[#This Row],[SD 3]]/[1]!Tabelle1325[[#This Row],[Mean Visc. 3 '[mPas']3]]</f>
        <v>#VALUE!</v>
      </c>
    </row>
    <row r="193" spans="1:31" x14ac:dyDescent="0.3">
      <c r="A193">
        <v>192</v>
      </c>
      <c r="B193" s="4"/>
      <c r="C193" s="5"/>
      <c r="D193" s="7">
        <v>10</v>
      </c>
      <c r="E193" t="s">
        <v>182</v>
      </c>
      <c r="F193" t="s">
        <v>195</v>
      </c>
      <c r="G193" s="23"/>
      <c r="H193" s="11" t="s">
        <v>185</v>
      </c>
      <c r="I193" s="9" t="s">
        <v>12</v>
      </c>
      <c r="J193" s="7">
        <v>23.3</v>
      </c>
      <c r="K193" s="7">
        <v>10</v>
      </c>
      <c r="L193" s="7">
        <v>30.02</v>
      </c>
      <c r="M193" s="7">
        <v>375</v>
      </c>
      <c r="N193" s="7" t="e">
        <f>[1]!Tabelle1325[[#This Row],[Anzahl Frames]]/[1]!Tabelle1325[[#This Row],[Aufnahmezeit '[s']]]</f>
        <v>#VALUE!</v>
      </c>
      <c r="O193" s="6" t="e">
        <f>1/[1]!Tabelle1325[[#This Row],[Mean fps ]]</f>
        <v>#VALUE!</v>
      </c>
      <c r="P193" s="7">
        <v>40</v>
      </c>
      <c r="S193" s="7">
        <v>1.0149999999999999</v>
      </c>
      <c r="T193" s="7">
        <v>0.84799999999999998</v>
      </c>
      <c r="U193" s="7">
        <v>1.4830000000000001</v>
      </c>
      <c r="V193" s="7"/>
      <c r="W193" s="7"/>
      <c r="X193" s="7"/>
      <c r="Y193" s="7"/>
      <c r="Z193" s="7"/>
      <c r="AA193" s="7"/>
      <c r="AB193" s="7"/>
      <c r="AC193" s="7" t="e">
        <f>Tabelle1321011121517[[#This Row],[SD 1]]/Tabelle1321011121517[[#This Row],[Mean Visc. 1 '[mPas']]]</f>
        <v>#DIV/0!</v>
      </c>
      <c r="AD193" s="7" t="e">
        <f>[1]!Tabelle1325[[#This Row],[SD 2]]/[1]!Tabelle1325[[#This Row],[Mean Visc. 2 '[mPas']2]]</f>
        <v>#VALUE!</v>
      </c>
      <c r="AE193" s="7" t="e">
        <f>[1]!Tabelle1325[[#This Row],[SD 3]]/[1]!Tabelle1325[[#This Row],[Mean Visc. 3 '[mPas']3]]</f>
        <v>#VALUE!</v>
      </c>
    </row>
    <row r="194" spans="1:31" x14ac:dyDescent="0.3">
      <c r="A194">
        <v>193</v>
      </c>
      <c r="B194" s="4"/>
      <c r="C194" s="5"/>
      <c r="D194" s="7">
        <v>10</v>
      </c>
      <c r="E194" t="s">
        <v>182</v>
      </c>
      <c r="F194" t="s">
        <v>195</v>
      </c>
      <c r="G194" s="23"/>
      <c r="H194" s="11" t="s">
        <v>185</v>
      </c>
      <c r="I194" s="9" t="s">
        <v>12</v>
      </c>
      <c r="J194" s="7">
        <v>23.5</v>
      </c>
      <c r="K194" s="7">
        <v>10</v>
      </c>
      <c r="L194" s="7">
        <v>30.9</v>
      </c>
      <c r="M194" s="7">
        <v>386</v>
      </c>
      <c r="N194" s="7" t="e">
        <f>[1]!Tabelle1325[[#This Row],[Anzahl Frames]]/[1]!Tabelle1325[[#This Row],[Aufnahmezeit '[s']]]</f>
        <v>#VALUE!</v>
      </c>
      <c r="O194" s="6" t="e">
        <f>1/[1]!Tabelle1325[[#This Row],[Mean fps ]]</f>
        <v>#VALUE!</v>
      </c>
      <c r="P194" s="7">
        <v>40</v>
      </c>
      <c r="S194" s="7">
        <v>1.0720000000000001</v>
      </c>
      <c r="T194" s="7">
        <v>0.96499999999999997</v>
      </c>
      <c r="U194" s="7">
        <v>1.5549999999999999</v>
      </c>
      <c r="V194" s="7"/>
      <c r="W194" s="7"/>
      <c r="X194" s="7"/>
      <c r="Y194" s="7"/>
      <c r="Z194" s="7"/>
      <c r="AA194" s="7"/>
      <c r="AB194" s="7"/>
      <c r="AC194" s="7" t="e">
        <f>Tabelle1321011121517[[#This Row],[SD 1]]/Tabelle1321011121517[[#This Row],[Mean Visc. 1 '[mPas']]]</f>
        <v>#DIV/0!</v>
      </c>
      <c r="AD194" s="7" t="e">
        <f>[1]!Tabelle1325[[#This Row],[SD 2]]/[1]!Tabelle1325[[#This Row],[Mean Visc. 2 '[mPas']2]]</f>
        <v>#VALUE!</v>
      </c>
      <c r="AE194" s="7" t="e">
        <f>[1]!Tabelle1325[[#This Row],[SD 3]]/[1]!Tabelle1325[[#This Row],[Mean Visc. 3 '[mPas']3]]</f>
        <v>#VALUE!</v>
      </c>
    </row>
    <row r="195" spans="1:31" x14ac:dyDescent="0.3">
      <c r="A195">
        <v>194</v>
      </c>
      <c r="B195" s="4"/>
      <c r="C195" s="5"/>
      <c r="D195" s="7">
        <v>10</v>
      </c>
      <c r="E195" t="s">
        <v>182</v>
      </c>
      <c r="F195" t="s">
        <v>195</v>
      </c>
      <c r="G195" s="23"/>
      <c r="H195" s="11" t="s">
        <v>185</v>
      </c>
      <c r="I195" s="9" t="s">
        <v>12</v>
      </c>
      <c r="J195" s="7">
        <v>23.7</v>
      </c>
      <c r="K195" s="7">
        <v>10</v>
      </c>
      <c r="L195" s="7">
        <v>29.93</v>
      </c>
      <c r="M195" s="7">
        <v>374</v>
      </c>
      <c r="N195" s="7" t="e">
        <f>[1]!Tabelle1325[[#This Row],[Anzahl Frames]]/[1]!Tabelle1325[[#This Row],[Aufnahmezeit '[s']]]</f>
        <v>#VALUE!</v>
      </c>
      <c r="O195" s="6" t="e">
        <f>1/[1]!Tabelle1325[[#This Row],[Mean fps ]]</f>
        <v>#VALUE!</v>
      </c>
      <c r="P195" s="7">
        <v>40</v>
      </c>
      <c r="S195" s="7">
        <v>1.0509999999999999</v>
      </c>
      <c r="T195" s="7">
        <v>0.84699999999999998</v>
      </c>
      <c r="U195" s="7">
        <v>1.48</v>
      </c>
      <c r="V195" s="7"/>
      <c r="W195" s="7"/>
      <c r="X195" s="7"/>
      <c r="Y195" s="7"/>
      <c r="Z195" s="7"/>
      <c r="AA195" s="7"/>
      <c r="AB195" s="7"/>
      <c r="AC195" s="7" t="e">
        <f>Tabelle1321011121517[[#This Row],[SD 1]]/Tabelle1321011121517[[#This Row],[Mean Visc. 1 '[mPas']]]</f>
        <v>#DIV/0!</v>
      </c>
      <c r="AD195" s="7" t="e">
        <f>[1]!Tabelle1325[[#This Row],[SD 2]]/[1]!Tabelle1325[[#This Row],[Mean Visc. 2 '[mPas']2]]</f>
        <v>#VALUE!</v>
      </c>
      <c r="AE195" s="7" t="e">
        <f>[1]!Tabelle1325[[#This Row],[SD 3]]/[1]!Tabelle1325[[#This Row],[Mean Visc. 3 '[mPas']3]]</f>
        <v>#VALUE!</v>
      </c>
    </row>
    <row r="196" spans="1:31" ht="15" thickBot="1" x14ac:dyDescent="0.35">
      <c r="A196">
        <v>195</v>
      </c>
      <c r="B196" s="15"/>
      <c r="C196" s="16"/>
      <c r="D196" s="7">
        <v>10</v>
      </c>
      <c r="E196" t="s">
        <v>182</v>
      </c>
      <c r="F196" t="s">
        <v>195</v>
      </c>
      <c r="G196" s="24"/>
      <c r="H196" s="11" t="s">
        <v>185</v>
      </c>
      <c r="I196" s="9" t="s">
        <v>12</v>
      </c>
      <c r="J196" s="17">
        <v>23.8</v>
      </c>
      <c r="K196" s="17">
        <v>10</v>
      </c>
      <c r="L196" s="17">
        <v>29.92</v>
      </c>
      <c r="M196" s="17">
        <v>375</v>
      </c>
      <c r="N196" s="17" t="e">
        <f>[1]!Tabelle1325[[#This Row],[Anzahl Frames]]/[1]!Tabelle1325[[#This Row],[Aufnahmezeit '[s']]]</f>
        <v>#VALUE!</v>
      </c>
      <c r="O196" s="25" t="e">
        <f>1/[1]!Tabelle1325[[#This Row],[Mean fps ]]</f>
        <v>#VALUE!</v>
      </c>
      <c r="P196" s="17">
        <v>40</v>
      </c>
      <c r="Q196" s="20"/>
      <c r="R196" s="21"/>
      <c r="S196" s="17">
        <v>1.0349999999999999</v>
      </c>
      <c r="T196" s="17">
        <v>0.95899999999999996</v>
      </c>
      <c r="U196" s="17">
        <v>1.641</v>
      </c>
      <c r="V196" s="17"/>
      <c r="W196" s="17"/>
      <c r="X196" s="17"/>
      <c r="Y196" s="17"/>
      <c r="Z196" s="7"/>
      <c r="AA196" s="7"/>
      <c r="AB196" s="7"/>
      <c r="AC196" s="7" t="e">
        <f>Tabelle1321011121517[[#This Row],[SD 1]]/Tabelle1321011121517[[#This Row],[Mean Visc. 1 '[mPas']]]</f>
        <v>#DIV/0!</v>
      </c>
      <c r="AD196" s="7" t="e">
        <f>[1]!Tabelle1325[[#This Row],[SD 2]]/[1]!Tabelle1325[[#This Row],[Mean Visc. 2 '[mPas']2]]</f>
        <v>#VALUE!</v>
      </c>
      <c r="AE196" s="7" t="e">
        <f>[1]!Tabelle1325[[#This Row],[SD 3]]/[1]!Tabelle1325[[#This Row],[Mean Visc. 3 '[mPas']3]]</f>
        <v>#VALUE!</v>
      </c>
    </row>
    <row r="197" spans="1:31" ht="15" thickTop="1" x14ac:dyDescent="0.3">
      <c r="A197">
        <v>196</v>
      </c>
      <c r="B197" s="4"/>
      <c r="C197" s="5"/>
      <c r="D197" s="7">
        <v>10</v>
      </c>
      <c r="E197" t="s">
        <v>182</v>
      </c>
      <c r="F197" t="s">
        <v>195</v>
      </c>
      <c r="G197" s="23"/>
      <c r="H197" s="11" t="s">
        <v>185</v>
      </c>
      <c r="I197" s="9" t="s">
        <v>12</v>
      </c>
      <c r="J197" s="7">
        <v>24</v>
      </c>
      <c r="K197" s="7">
        <v>10</v>
      </c>
      <c r="L197" s="7">
        <v>29.84</v>
      </c>
      <c r="M197" s="7">
        <v>373</v>
      </c>
      <c r="N197" s="7" t="e">
        <f>[1]!Tabelle1325[[#This Row],[Anzahl Frames]]/[1]!Tabelle1325[[#This Row],[Aufnahmezeit '[s']]]</f>
        <v>#VALUE!</v>
      </c>
      <c r="O197" s="6" t="e">
        <f>1/[1]!Tabelle1325[[#This Row],[Mean fps ]]</f>
        <v>#VALUE!</v>
      </c>
      <c r="P197" s="7">
        <v>40</v>
      </c>
      <c r="S197" s="7">
        <v>1.0549999999999999</v>
      </c>
      <c r="T197" s="7">
        <v>0.99299999999999999</v>
      </c>
      <c r="U197" s="7">
        <v>1.6060000000000001</v>
      </c>
      <c r="V197" s="7"/>
      <c r="W197" s="7"/>
      <c r="X197" s="7"/>
      <c r="Y197" s="7"/>
      <c r="Z197" s="7"/>
      <c r="AA197" s="7"/>
      <c r="AB197" s="7"/>
      <c r="AC197" s="7" t="e">
        <f>Tabelle1321011121517[[#This Row],[SD 1]]/Tabelle1321011121517[[#This Row],[Mean Visc. 1 '[mPas']]]</f>
        <v>#DIV/0!</v>
      </c>
      <c r="AD197" s="7" t="e">
        <f>[1]!Tabelle1325[[#This Row],[SD 2]]/[1]!Tabelle1325[[#This Row],[Mean Visc. 2 '[mPas']2]]</f>
        <v>#VALUE!</v>
      </c>
      <c r="AE197" s="7" t="e">
        <f>[1]!Tabelle1325[[#This Row],[SD 3]]/[1]!Tabelle1325[[#This Row],[Mean Visc. 3 '[mPas']3]]</f>
        <v>#VALUE!</v>
      </c>
    </row>
    <row r="198" spans="1:31" x14ac:dyDescent="0.3">
      <c r="A198">
        <v>197</v>
      </c>
      <c r="B198" s="4"/>
      <c r="C198" s="5"/>
      <c r="D198" s="7">
        <v>10</v>
      </c>
      <c r="E198" t="s">
        <v>182</v>
      </c>
      <c r="F198" t="s">
        <v>195</v>
      </c>
      <c r="G198" s="23"/>
      <c r="H198" s="11" t="s">
        <v>185</v>
      </c>
      <c r="I198" s="9" t="s">
        <v>12</v>
      </c>
      <c r="J198" s="7">
        <v>24.1</v>
      </c>
      <c r="K198" s="7">
        <v>10</v>
      </c>
      <c r="L198" s="7">
        <v>29.76</v>
      </c>
      <c r="M198" s="7">
        <v>372</v>
      </c>
      <c r="N198" s="7" t="e">
        <f>[1]!Tabelle1325[[#This Row],[Anzahl Frames]]/[1]!Tabelle1325[[#This Row],[Aufnahmezeit '[s']]]</f>
        <v>#VALUE!</v>
      </c>
      <c r="O198" s="6" t="e">
        <f>1/[1]!Tabelle1325[[#This Row],[Mean fps ]]</f>
        <v>#VALUE!</v>
      </c>
      <c r="P198" s="7">
        <v>40</v>
      </c>
      <c r="S198" s="7">
        <v>1.127</v>
      </c>
      <c r="T198" s="7">
        <v>0.90200000000000002</v>
      </c>
      <c r="U198" s="7">
        <v>1.552</v>
      </c>
      <c r="V198" s="7"/>
      <c r="W198" s="7"/>
      <c r="X198" s="7"/>
      <c r="Y198" s="7"/>
      <c r="Z198" s="7"/>
      <c r="AA198" s="7"/>
      <c r="AB198" s="7"/>
      <c r="AC198" s="7" t="e">
        <f>Tabelle1321011121517[[#This Row],[SD 1]]/Tabelle1321011121517[[#This Row],[Mean Visc. 1 '[mPas']]]</f>
        <v>#DIV/0!</v>
      </c>
      <c r="AD198" s="7" t="e">
        <f>[1]!Tabelle1325[[#This Row],[SD 2]]/[1]!Tabelle1325[[#This Row],[Mean Visc. 2 '[mPas']2]]</f>
        <v>#VALUE!</v>
      </c>
      <c r="AE198" s="7" t="e">
        <f>[1]!Tabelle1325[[#This Row],[SD 3]]/[1]!Tabelle1325[[#This Row],[Mean Visc. 3 '[mPas']3]]</f>
        <v>#VALUE!</v>
      </c>
    </row>
    <row r="199" spans="1:31" x14ac:dyDescent="0.3">
      <c r="A199">
        <v>198</v>
      </c>
      <c r="B199" s="4"/>
      <c r="C199" s="5"/>
      <c r="D199" s="7">
        <v>10</v>
      </c>
      <c r="E199" t="s">
        <v>182</v>
      </c>
      <c r="F199" t="s">
        <v>195</v>
      </c>
      <c r="G199" s="23"/>
      <c r="H199" s="11" t="s">
        <v>185</v>
      </c>
      <c r="I199" s="9" t="s">
        <v>12</v>
      </c>
      <c r="J199" s="7">
        <v>24.2</v>
      </c>
      <c r="K199" s="7">
        <v>10</v>
      </c>
      <c r="L199" s="7">
        <v>29.76</v>
      </c>
      <c r="M199" s="7">
        <v>373</v>
      </c>
      <c r="N199" s="7" t="e">
        <f>[1]!Tabelle1325[[#This Row],[Anzahl Frames]]/[1]!Tabelle1325[[#This Row],[Aufnahmezeit '[s']]]</f>
        <v>#VALUE!</v>
      </c>
      <c r="O199" s="6" t="e">
        <f>1/[1]!Tabelle1325[[#This Row],[Mean fps ]]</f>
        <v>#VALUE!</v>
      </c>
      <c r="P199" s="7">
        <v>40</v>
      </c>
      <c r="S199" s="7">
        <v>1.0640000000000001</v>
      </c>
      <c r="T199" s="7">
        <v>0.89100000000000001</v>
      </c>
      <c r="U199" s="7">
        <v>1.647</v>
      </c>
      <c r="V199" s="7"/>
      <c r="W199" s="7"/>
      <c r="X199" s="7"/>
      <c r="Y199" s="7"/>
      <c r="Z199" s="7"/>
      <c r="AA199" s="7"/>
      <c r="AB199" s="7"/>
      <c r="AC199" s="7" t="e">
        <f>Tabelle1321011121517[[#This Row],[SD 1]]/Tabelle1321011121517[[#This Row],[Mean Visc. 1 '[mPas']]]</f>
        <v>#DIV/0!</v>
      </c>
      <c r="AD199" s="7" t="e">
        <f>[1]!Tabelle1325[[#This Row],[SD 2]]/[1]!Tabelle1325[[#This Row],[Mean Visc. 2 '[mPas']2]]</f>
        <v>#VALUE!</v>
      </c>
      <c r="AE199" s="7" t="e">
        <f>[1]!Tabelle1325[[#This Row],[SD 3]]/[1]!Tabelle1325[[#This Row],[Mean Visc. 3 '[mPas']3]]</f>
        <v>#VALUE!</v>
      </c>
    </row>
    <row r="200" spans="1:31" x14ac:dyDescent="0.3">
      <c r="A200">
        <v>199</v>
      </c>
      <c r="B200" s="4"/>
      <c r="C200" s="5"/>
      <c r="D200" s="7">
        <v>10</v>
      </c>
      <c r="E200" t="s">
        <v>182</v>
      </c>
      <c r="F200" t="s">
        <v>195</v>
      </c>
      <c r="G200" s="23"/>
      <c r="H200" s="11" t="s">
        <v>185</v>
      </c>
      <c r="I200" s="9" t="s">
        <v>12</v>
      </c>
      <c r="J200" s="7">
        <v>24.3</v>
      </c>
      <c r="K200" s="7">
        <v>10</v>
      </c>
      <c r="L200" s="7">
        <v>30.32</v>
      </c>
      <c r="M200" s="7">
        <v>380</v>
      </c>
      <c r="N200" s="7" t="e">
        <f>[1]!Tabelle1325[[#This Row],[Anzahl Frames]]/[1]!Tabelle1325[[#This Row],[Aufnahmezeit '[s']]]</f>
        <v>#VALUE!</v>
      </c>
      <c r="O200" s="6" t="e">
        <f>1/[1]!Tabelle1325[[#This Row],[Mean fps ]]</f>
        <v>#VALUE!</v>
      </c>
      <c r="P200" s="7">
        <v>40</v>
      </c>
      <c r="S200" s="7">
        <v>1.131</v>
      </c>
      <c r="T200" s="7">
        <v>0.95099999999999996</v>
      </c>
      <c r="U200" s="7">
        <v>1.623</v>
      </c>
      <c r="V200" s="7"/>
      <c r="W200" s="7"/>
      <c r="X200" s="7"/>
      <c r="Y200" s="7"/>
      <c r="Z200" s="7"/>
      <c r="AA200" s="7"/>
      <c r="AB200" s="7"/>
      <c r="AC200" s="7" t="e">
        <f>Tabelle1321011121517[[#This Row],[SD 1]]/Tabelle1321011121517[[#This Row],[Mean Visc. 1 '[mPas']]]</f>
        <v>#DIV/0!</v>
      </c>
      <c r="AD200" s="7" t="e">
        <f>[1]!Tabelle1325[[#This Row],[SD 2]]/[1]!Tabelle1325[[#This Row],[Mean Visc. 2 '[mPas']2]]</f>
        <v>#VALUE!</v>
      </c>
      <c r="AE200" s="7" t="e">
        <f>[1]!Tabelle1325[[#This Row],[SD 3]]/[1]!Tabelle1325[[#This Row],[Mean Visc. 3 '[mPas']3]]</f>
        <v>#VALUE!</v>
      </c>
    </row>
    <row r="201" spans="1:31" x14ac:dyDescent="0.3">
      <c r="A201">
        <v>200</v>
      </c>
      <c r="B201" s="4"/>
      <c r="C201" s="5"/>
      <c r="D201" s="7">
        <v>10</v>
      </c>
      <c r="E201" t="s">
        <v>182</v>
      </c>
      <c r="F201" t="s">
        <v>195</v>
      </c>
      <c r="G201" s="23"/>
      <c r="H201" s="11" t="s">
        <v>185</v>
      </c>
      <c r="I201" s="9" t="s">
        <v>12</v>
      </c>
      <c r="J201" s="7">
        <v>24.4</v>
      </c>
      <c r="K201" s="7">
        <v>10</v>
      </c>
      <c r="L201" s="7">
        <v>31.84</v>
      </c>
      <c r="M201" s="7">
        <v>398</v>
      </c>
      <c r="N201" s="7" t="e">
        <f>[1]!Tabelle1325[[#This Row],[Anzahl Frames]]/[1]!Tabelle1325[[#This Row],[Aufnahmezeit '[s']]]</f>
        <v>#VALUE!</v>
      </c>
      <c r="O201" s="6" t="e">
        <f>1/[1]!Tabelle1325[[#This Row],[Mean fps ]]</f>
        <v>#VALUE!</v>
      </c>
      <c r="P201" s="7">
        <v>40</v>
      </c>
      <c r="S201" s="7">
        <v>1.1000000000000001</v>
      </c>
      <c r="T201" s="7">
        <v>0.88100000000000001</v>
      </c>
      <c r="U201" s="7">
        <v>1.538</v>
      </c>
      <c r="V201" s="7"/>
      <c r="W201" s="7">
        <f>SUM(S192:S201)/10</f>
        <v>1.0740000000000001</v>
      </c>
      <c r="X201" s="7">
        <f t="shared" ref="X201" si="38">SUM(T192:T201)/10</f>
        <v>0.9235000000000001</v>
      </c>
      <c r="Y201" s="7">
        <f t="shared" ref="Y201" si="39">SUM(U192:U201)/10</f>
        <v>1.5680999999999998</v>
      </c>
      <c r="Z201" s="7"/>
      <c r="AA201" s="7"/>
      <c r="AB201" s="7"/>
      <c r="AC201" s="7">
        <f>Tabelle1321011121517[[#This Row],[SD 1]]/Tabelle1321011121517[[#This Row],[Mean Visc. 1 '[mPas']]]</f>
        <v>0</v>
      </c>
      <c r="AD201" s="7" t="e">
        <f>[1]!Tabelle1325[[#This Row],[SD 2]]/[1]!Tabelle1325[[#This Row],[Mean Visc. 2 '[mPas']2]]</f>
        <v>#VALUE!</v>
      </c>
      <c r="AE201" s="7" t="e">
        <f>[1]!Tabelle1325[[#This Row],[SD 3]]/[1]!Tabelle1325[[#This Row],[Mean Visc. 3 '[mPas']3]]</f>
        <v>#VALUE!</v>
      </c>
    </row>
  </sheetData>
  <conditionalFormatting sqref="Q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EC51-CB60-476A-8BE5-E053D280F464}">
  <dimension ref="A1:AI222"/>
  <sheetViews>
    <sheetView zoomScale="59" zoomScaleNormal="100" workbookViewId="0">
      <selection activeCell="B2" sqref="B2:C199"/>
    </sheetView>
  </sheetViews>
  <sheetFormatPr baseColWidth="10" defaultRowHeight="14.4" x14ac:dyDescent="0.3"/>
  <cols>
    <col min="1" max="1" width="5.33203125" customWidth="1"/>
    <col min="2" max="2" width="11.33203125" customWidth="1"/>
    <col min="3" max="3" width="15.109375" customWidth="1"/>
    <col min="4" max="4" width="11.5546875" style="7"/>
    <col min="6" max="6" width="14.109375" customWidth="1"/>
    <col min="7" max="7" width="14.33203125" customWidth="1"/>
    <col min="8" max="8" width="23.5546875" style="11" customWidth="1"/>
    <col min="9" max="9" width="18.33203125" style="9" customWidth="1"/>
    <col min="10" max="10" width="16.33203125" style="7" customWidth="1"/>
    <col min="11" max="11" width="18.44140625" style="7" customWidth="1"/>
    <col min="12" max="12" width="17.21875" style="7" customWidth="1"/>
    <col min="13" max="15" width="15" style="7" customWidth="1"/>
    <col min="16" max="16" width="15.44140625" style="7" customWidth="1"/>
    <col min="17" max="17" width="34.33203125" style="3" customWidth="1"/>
    <col min="18" max="18" width="22.6640625" style="11" customWidth="1"/>
    <col min="19" max="21" width="28.77734375" customWidth="1"/>
    <col min="22" max="22" width="61.109375" customWidth="1"/>
    <col min="23" max="25" width="19.109375" customWidth="1"/>
    <col min="26" max="26" width="22.77734375" customWidth="1"/>
    <col min="27" max="27" width="21.109375" customWidth="1"/>
    <col min="28" max="28" width="22.109375" customWidth="1"/>
    <col min="33" max="33" width="29.5546875" customWidth="1"/>
    <col min="34" max="34" width="28.33203125" customWidth="1"/>
    <col min="35" max="35" width="24.21875" customWidth="1"/>
  </cols>
  <sheetData>
    <row r="1" spans="1:35" x14ac:dyDescent="0.3">
      <c r="A1" s="1" t="s">
        <v>10</v>
      </c>
      <c r="B1" s="1" t="s">
        <v>0</v>
      </c>
      <c r="C1" s="1" t="s">
        <v>13</v>
      </c>
      <c r="D1" s="6" t="s">
        <v>176</v>
      </c>
      <c r="E1" s="1" t="s">
        <v>6</v>
      </c>
      <c r="F1" s="1" t="s">
        <v>162</v>
      </c>
      <c r="G1" s="1" t="s">
        <v>5</v>
      </c>
      <c r="H1" s="10" t="s">
        <v>14</v>
      </c>
      <c r="I1" s="8" t="s">
        <v>3</v>
      </c>
      <c r="J1" s="6" t="s">
        <v>2</v>
      </c>
      <c r="K1" s="6" t="s">
        <v>40</v>
      </c>
      <c r="L1" s="6" t="s">
        <v>8</v>
      </c>
      <c r="M1" s="6" t="s">
        <v>4</v>
      </c>
      <c r="N1" s="6" t="s">
        <v>42</v>
      </c>
      <c r="O1" s="6" t="s">
        <v>43</v>
      </c>
      <c r="P1" s="6" t="s">
        <v>9</v>
      </c>
      <c r="Q1" s="2" t="s">
        <v>7</v>
      </c>
      <c r="R1" s="13" t="s">
        <v>41</v>
      </c>
      <c r="S1" s="8" t="s">
        <v>44</v>
      </c>
      <c r="T1" s="8" t="s">
        <v>45</v>
      </c>
      <c r="U1" s="8" t="s">
        <v>46</v>
      </c>
      <c r="V1" s="8" t="s">
        <v>47</v>
      </c>
      <c r="W1" s="6" t="s">
        <v>48</v>
      </c>
      <c r="X1" s="6" t="s">
        <v>49</v>
      </c>
      <c r="Y1" s="6" t="s">
        <v>50</v>
      </c>
      <c r="Z1" s="6" t="s">
        <v>140</v>
      </c>
      <c r="AA1" s="6" t="s">
        <v>141</v>
      </c>
      <c r="AB1" s="6" t="s">
        <v>142</v>
      </c>
      <c r="AC1" s="6" t="s">
        <v>143</v>
      </c>
      <c r="AD1" s="6" t="s">
        <v>144</v>
      </c>
      <c r="AE1" s="6" t="s">
        <v>145</v>
      </c>
      <c r="AF1" s="6" t="s">
        <v>146</v>
      </c>
      <c r="AG1" s="6" t="s">
        <v>147</v>
      </c>
      <c r="AH1" s="6" t="s">
        <v>148</v>
      </c>
      <c r="AI1" s="6" t="s">
        <v>149</v>
      </c>
    </row>
    <row r="2" spans="1:35" x14ac:dyDescent="0.3">
      <c r="A2">
        <v>1</v>
      </c>
      <c r="B2" s="4"/>
      <c r="C2" s="5"/>
      <c r="D2" s="7">
        <v>1</v>
      </c>
      <c r="E2" t="s">
        <v>165</v>
      </c>
      <c r="G2" s="7" t="s">
        <v>161</v>
      </c>
      <c r="H2" s="11" t="s">
        <v>160</v>
      </c>
      <c r="I2" s="9" t="s">
        <v>12</v>
      </c>
      <c r="J2" s="7">
        <v>22.2</v>
      </c>
      <c r="K2" s="7">
        <v>10</v>
      </c>
      <c r="L2" s="7">
        <v>28.93</v>
      </c>
      <c r="M2" s="7">
        <v>366</v>
      </c>
      <c r="N2" s="7">
        <f>Tabelle1563[[#This Row],[Anzahl Frames]]/Tabelle1563[[#This Row],[Aufnahmezeit '[s']]]</f>
        <v>12.651227099896301</v>
      </c>
      <c r="O2" s="7">
        <f>1/Tabelle1563[[#This Row],[Mean fps ]]</f>
        <v>7.9043715846994531E-2</v>
      </c>
      <c r="P2" s="7">
        <v>40</v>
      </c>
      <c r="S2" s="7">
        <v>1.4219999999999999</v>
      </c>
      <c r="T2" s="7">
        <v>1.159</v>
      </c>
      <c r="U2" s="7">
        <v>1.8779999999999999</v>
      </c>
      <c r="V2" s="7"/>
      <c r="W2" s="7"/>
      <c r="X2" s="7"/>
      <c r="Y2" s="7"/>
      <c r="Z2" s="7" t="e" cm="1">
        <f t="array" ref="Z2">STABW</f>
        <v>#NAME?</v>
      </c>
      <c r="AA2" s="7"/>
      <c r="AB2" s="7"/>
      <c r="AC2" s="7"/>
      <c r="AD2" s="7"/>
      <c r="AE2" s="7"/>
      <c r="AF2" s="7"/>
      <c r="AG2" s="7" t="e">
        <f>1-Tabelle1563[[#This Row],[Mean Visc. 1 '[mPas']]]/#REF!</f>
        <v>#REF!</v>
      </c>
      <c r="AH2" s="7"/>
      <c r="AI2" s="7"/>
    </row>
    <row r="3" spans="1:35" x14ac:dyDescent="0.3">
      <c r="A3">
        <v>2</v>
      </c>
      <c r="B3" s="4"/>
      <c r="C3" s="5"/>
      <c r="D3" s="7">
        <v>1</v>
      </c>
      <c r="E3" t="s">
        <v>165</v>
      </c>
      <c r="G3" s="7" t="s">
        <v>161</v>
      </c>
      <c r="H3" s="11" t="s">
        <v>160</v>
      </c>
      <c r="I3" s="9" t="s">
        <v>12</v>
      </c>
      <c r="J3" s="7">
        <v>22.4</v>
      </c>
      <c r="K3" s="7">
        <v>10</v>
      </c>
      <c r="L3" s="7">
        <v>32.32</v>
      </c>
      <c r="M3" s="7">
        <v>404</v>
      </c>
      <c r="N3" s="7">
        <f>Tabelle1563[[#This Row],[Anzahl Frames]]/Tabelle1563[[#This Row],[Aufnahmezeit '[s']]]</f>
        <v>12.5</v>
      </c>
      <c r="O3" s="7">
        <f>1/Tabelle1563[[#This Row],[Mean fps ]]</f>
        <v>0.08</v>
      </c>
      <c r="P3" s="7">
        <v>40</v>
      </c>
      <c r="S3" s="7">
        <v>1.3640000000000001</v>
      </c>
      <c r="T3" s="7">
        <v>1.2050000000000001</v>
      </c>
      <c r="U3" s="7">
        <v>1.887</v>
      </c>
      <c r="V3" s="7"/>
      <c r="W3" s="7"/>
      <c r="X3" s="7"/>
      <c r="Y3" s="7"/>
      <c r="Z3" s="7" t="e" cm="1">
        <f t="array" ref="Z3">STABW</f>
        <v>#NAME?</v>
      </c>
      <c r="AA3" s="7"/>
      <c r="AB3" s="7"/>
      <c r="AC3" s="7"/>
      <c r="AD3" s="7"/>
      <c r="AE3" s="7"/>
      <c r="AF3" s="7"/>
      <c r="AG3" s="7" t="e">
        <f>1-Tabelle1563[[#This Row],[Mean Visc. 1 '[mPas']]]/#REF!</f>
        <v>#REF!</v>
      </c>
      <c r="AH3" s="7"/>
      <c r="AI3" s="7"/>
    </row>
    <row r="4" spans="1:35" x14ac:dyDescent="0.3">
      <c r="A4">
        <v>3</v>
      </c>
      <c r="B4" s="4"/>
      <c r="C4" s="5"/>
      <c r="D4" s="7">
        <v>1</v>
      </c>
      <c r="E4" t="s">
        <v>165</v>
      </c>
      <c r="G4" s="7" t="s">
        <v>161</v>
      </c>
      <c r="H4" s="11" t="s">
        <v>160</v>
      </c>
      <c r="I4" s="9" t="s">
        <v>12</v>
      </c>
      <c r="J4" s="7">
        <v>22.5</v>
      </c>
      <c r="K4" s="7">
        <v>10</v>
      </c>
      <c r="L4" s="7">
        <v>29.92</v>
      </c>
      <c r="M4" s="7">
        <v>375</v>
      </c>
      <c r="N4" s="7">
        <f>Tabelle1563[[#This Row],[Anzahl Frames]]/Tabelle1563[[#This Row],[Aufnahmezeit '[s']]]</f>
        <v>12.533422459893048</v>
      </c>
      <c r="O4" s="7">
        <f>1/Tabelle1563[[#This Row],[Mean fps ]]</f>
        <v>7.9786666666666672E-2</v>
      </c>
      <c r="P4" s="7">
        <v>40</v>
      </c>
      <c r="S4" s="7">
        <v>1.4970000000000001</v>
      </c>
      <c r="T4" s="7">
        <v>1.28</v>
      </c>
      <c r="U4" s="7">
        <v>2.004</v>
      </c>
      <c r="V4" s="7"/>
      <c r="W4" s="7"/>
      <c r="X4" s="7"/>
      <c r="Y4" s="7"/>
      <c r="Z4" s="7" t="e" cm="1">
        <f t="array" ref="Z4">STABW</f>
        <v>#NAME?</v>
      </c>
      <c r="AA4" s="7"/>
      <c r="AB4" s="7"/>
      <c r="AC4" s="7"/>
      <c r="AD4" s="7"/>
      <c r="AE4" s="7"/>
      <c r="AF4" s="7"/>
      <c r="AG4" s="7" t="e">
        <f>1-Tabelle1563[[#This Row],[Mean Visc. 1 '[mPas']]]/#REF!</f>
        <v>#REF!</v>
      </c>
      <c r="AH4" s="7"/>
      <c r="AI4" s="7"/>
    </row>
    <row r="5" spans="1:35" x14ac:dyDescent="0.3">
      <c r="A5">
        <v>4</v>
      </c>
      <c r="B5" s="4"/>
      <c r="C5" s="5"/>
      <c r="D5" s="7">
        <v>1</v>
      </c>
      <c r="E5" t="s">
        <v>165</v>
      </c>
      <c r="G5" s="7" t="s">
        <v>161</v>
      </c>
      <c r="H5" s="11" t="s">
        <v>160</v>
      </c>
      <c r="I5" s="9" t="s">
        <v>12</v>
      </c>
      <c r="J5" s="7">
        <v>22.7</v>
      </c>
      <c r="K5" s="7">
        <v>10</v>
      </c>
      <c r="L5" s="7">
        <v>33.53</v>
      </c>
      <c r="M5" s="7">
        <v>419</v>
      </c>
      <c r="N5" s="7">
        <f>Tabelle1563[[#This Row],[Anzahl Frames]]/Tabelle1563[[#This Row],[Aufnahmezeit '[s']]]</f>
        <v>12.496271995228154</v>
      </c>
      <c r="O5" s="7">
        <f>1/Tabelle1563[[#This Row],[Mean fps ]]</f>
        <v>8.0023866348448686E-2</v>
      </c>
      <c r="P5" s="7">
        <v>40</v>
      </c>
      <c r="S5" s="7">
        <v>1.4339999999999999</v>
      </c>
      <c r="T5" s="7">
        <v>1.206</v>
      </c>
      <c r="U5" s="7">
        <v>1.895</v>
      </c>
      <c r="V5" s="7"/>
      <c r="W5" s="7"/>
      <c r="X5" s="7"/>
      <c r="Y5" s="7"/>
      <c r="Z5" s="7" t="e" cm="1">
        <f t="array" ref="Z5">STABW</f>
        <v>#NAME?</v>
      </c>
      <c r="AA5" s="7"/>
      <c r="AB5" s="7"/>
      <c r="AC5" s="7"/>
      <c r="AD5" s="7"/>
      <c r="AE5" s="7"/>
      <c r="AF5" s="7"/>
      <c r="AG5" s="7" t="e">
        <f>1-Tabelle1563[[#This Row],[Mean Visc. 1 '[mPas']]]/#REF!</f>
        <v>#REF!</v>
      </c>
      <c r="AH5" s="7"/>
      <c r="AI5" s="7"/>
    </row>
    <row r="6" spans="1:35" s="14" customFormat="1" ht="15" thickBot="1" x14ac:dyDescent="0.35">
      <c r="A6">
        <v>5</v>
      </c>
      <c r="B6" s="15"/>
      <c r="C6" s="16"/>
      <c r="D6" s="7">
        <v>1</v>
      </c>
      <c r="E6" t="s">
        <v>165</v>
      </c>
      <c r="F6"/>
      <c r="G6" s="7" t="s">
        <v>161</v>
      </c>
      <c r="H6" s="21" t="s">
        <v>160</v>
      </c>
      <c r="I6" s="9" t="s">
        <v>12</v>
      </c>
      <c r="J6" s="17">
        <v>22.8</v>
      </c>
      <c r="K6" s="17">
        <v>10</v>
      </c>
      <c r="L6" s="17">
        <v>30.66</v>
      </c>
      <c r="M6" s="17">
        <v>383</v>
      </c>
      <c r="N6" s="17">
        <f>Tabelle1563[[#This Row],[Anzahl Frames]]/Tabelle1563[[#This Row],[Aufnahmezeit '[s']]]</f>
        <v>12.491846053489889</v>
      </c>
      <c r="O6" s="17">
        <f>1/Tabelle1563[[#This Row],[Mean fps ]]</f>
        <v>8.0052219321148824E-2</v>
      </c>
      <c r="P6" s="17">
        <v>40</v>
      </c>
      <c r="Q6" s="20"/>
      <c r="R6" s="21"/>
      <c r="S6" s="17">
        <v>1.508</v>
      </c>
      <c r="T6" s="17">
        <v>1.3380000000000001</v>
      </c>
      <c r="U6" s="17">
        <v>1.9430000000000001</v>
      </c>
      <c r="V6" s="17"/>
      <c r="W6" s="17"/>
      <c r="X6" s="17"/>
      <c r="Y6" s="17"/>
      <c r="Z6" s="17" t="e" cm="1">
        <f t="array" ref="Z6">STABW</f>
        <v>#NAME?</v>
      </c>
      <c r="AA6" s="17"/>
      <c r="AB6" s="17"/>
      <c r="AC6" s="17"/>
      <c r="AD6" s="17"/>
      <c r="AE6" s="17"/>
      <c r="AF6" s="17"/>
      <c r="AG6" s="17" t="e">
        <f>1-Tabelle1563[[#This Row],[Mean Visc. 1 '[mPas']]]/#REF!</f>
        <v>#REF!</v>
      </c>
      <c r="AH6" s="17"/>
      <c r="AI6" s="17"/>
    </row>
    <row r="7" spans="1:35" ht="15" thickTop="1" x14ac:dyDescent="0.3">
      <c r="A7">
        <v>6</v>
      </c>
      <c r="B7" s="4"/>
      <c r="C7" s="5"/>
      <c r="D7" s="7">
        <v>1</v>
      </c>
      <c r="E7" t="s">
        <v>165</v>
      </c>
      <c r="G7" s="7" t="s">
        <v>161</v>
      </c>
      <c r="H7" s="11" t="s">
        <v>160</v>
      </c>
      <c r="I7" s="9" t="s">
        <v>12</v>
      </c>
      <c r="J7" s="7">
        <v>23.2</v>
      </c>
      <c r="K7" s="7">
        <v>10</v>
      </c>
      <c r="L7" s="7">
        <v>29.52</v>
      </c>
      <c r="M7" s="7">
        <v>370</v>
      </c>
      <c r="N7" s="7">
        <f>Tabelle1563[[#This Row],[Anzahl Frames]]/Tabelle1563[[#This Row],[Aufnahmezeit '[s']]]</f>
        <v>12.533875338753388</v>
      </c>
      <c r="O7" s="7">
        <f>1/Tabelle1563[[#This Row],[Mean fps ]]</f>
        <v>7.9783783783783785E-2</v>
      </c>
      <c r="P7" s="7">
        <v>40</v>
      </c>
      <c r="S7" s="7">
        <v>1.454</v>
      </c>
      <c r="T7" s="7">
        <v>1.2929999999999999</v>
      </c>
      <c r="U7" s="7">
        <v>1.85</v>
      </c>
      <c r="V7" s="7"/>
      <c r="W7" s="7"/>
      <c r="X7" s="7"/>
      <c r="Y7" s="7"/>
      <c r="Z7" s="7" t="e" cm="1">
        <f t="array" ref="Z7">STABW</f>
        <v>#NAME?</v>
      </c>
      <c r="AA7" s="7"/>
      <c r="AB7" s="7"/>
      <c r="AC7" s="7"/>
      <c r="AD7" s="7"/>
      <c r="AE7" s="7"/>
      <c r="AF7" s="7"/>
      <c r="AG7" s="7" t="e">
        <f>1-Tabelle1563[[#This Row],[Mean Visc. 1 '[mPas']]]/#REF!</f>
        <v>#REF!</v>
      </c>
      <c r="AH7" s="7"/>
      <c r="AI7" s="7"/>
    </row>
    <row r="8" spans="1:35" x14ac:dyDescent="0.3">
      <c r="A8">
        <v>7</v>
      </c>
      <c r="B8" s="4"/>
      <c r="C8" s="5"/>
      <c r="D8" s="7">
        <v>1</v>
      </c>
      <c r="E8" t="s">
        <v>165</v>
      </c>
      <c r="G8" s="7" t="s">
        <v>161</v>
      </c>
      <c r="H8" s="11" t="s">
        <v>160</v>
      </c>
      <c r="I8" s="9" t="s">
        <v>12</v>
      </c>
      <c r="J8" s="7">
        <v>23.3</v>
      </c>
      <c r="K8" s="7">
        <v>10</v>
      </c>
      <c r="L8" s="7">
        <v>31.2</v>
      </c>
      <c r="M8" s="7">
        <v>390</v>
      </c>
      <c r="N8" s="7">
        <f>Tabelle1563[[#This Row],[Anzahl Frames]]/Tabelle1563[[#This Row],[Aufnahmezeit '[s']]]</f>
        <v>12.5</v>
      </c>
      <c r="O8" s="7">
        <f>1/Tabelle1563[[#This Row],[Mean fps ]]</f>
        <v>0.08</v>
      </c>
      <c r="P8" s="7">
        <v>40</v>
      </c>
      <c r="S8" s="7">
        <v>1.5629999999999999</v>
      </c>
      <c r="T8" s="7">
        <v>1.3360000000000001</v>
      </c>
      <c r="U8" s="7">
        <v>2.0009999999999999</v>
      </c>
      <c r="V8" s="7"/>
      <c r="W8" s="7"/>
      <c r="X8" s="7"/>
      <c r="Y8" s="7"/>
      <c r="Z8" s="7" t="e" cm="1">
        <f t="array" ref="Z8">STABW</f>
        <v>#NAME?</v>
      </c>
      <c r="AA8" s="7"/>
      <c r="AB8" s="7"/>
      <c r="AC8" s="7"/>
      <c r="AD8" s="7"/>
      <c r="AE8" s="7"/>
      <c r="AF8" s="7"/>
      <c r="AG8" s="7" t="e">
        <f>1-Tabelle1563[[#This Row],[Mean Visc. 1 '[mPas']]]/#REF!</f>
        <v>#REF!</v>
      </c>
      <c r="AH8" s="7"/>
      <c r="AI8" s="7"/>
    </row>
    <row r="9" spans="1:35" x14ac:dyDescent="0.3">
      <c r="A9">
        <v>8</v>
      </c>
      <c r="B9" s="4"/>
      <c r="C9" s="5"/>
      <c r="D9" s="7">
        <v>1</v>
      </c>
      <c r="E9" t="s">
        <v>165</v>
      </c>
      <c r="G9" s="7" t="s">
        <v>161</v>
      </c>
      <c r="H9" s="11" t="s">
        <v>160</v>
      </c>
      <c r="I9" s="9" t="s">
        <v>12</v>
      </c>
      <c r="J9" s="7">
        <v>23.4</v>
      </c>
      <c r="K9" s="7">
        <v>10</v>
      </c>
      <c r="L9" s="7">
        <v>31.02</v>
      </c>
      <c r="M9" s="7">
        <v>384</v>
      </c>
      <c r="N9" s="7">
        <f>Tabelle1563[[#This Row],[Anzahl Frames]]/Tabelle1563[[#This Row],[Aufnahmezeit '[s']]]</f>
        <v>12.379110251450678</v>
      </c>
      <c r="O9" s="7">
        <f>1/Tabelle1563[[#This Row],[Mean fps ]]</f>
        <v>8.0781249999999999E-2</v>
      </c>
      <c r="P9" s="7">
        <v>40</v>
      </c>
      <c r="S9" s="7">
        <v>1.4550000000000001</v>
      </c>
      <c r="T9" s="7">
        <v>1.2490000000000001</v>
      </c>
      <c r="U9" s="7">
        <v>1.954</v>
      </c>
      <c r="V9" s="7"/>
      <c r="W9" s="7"/>
      <c r="X9" s="7"/>
      <c r="Y9" s="7"/>
      <c r="Z9" s="7" t="e" cm="1">
        <f t="array" ref="Z9">STABW</f>
        <v>#NAME?</v>
      </c>
      <c r="AA9" s="7"/>
      <c r="AB9" s="7"/>
      <c r="AC9" s="7"/>
      <c r="AD9" s="7"/>
      <c r="AE9" s="7"/>
      <c r="AF9" s="7"/>
      <c r="AG9" s="7" t="e">
        <f>1-Tabelle1563[[#This Row],[Mean Visc. 1 '[mPas']]]/#REF!</f>
        <v>#REF!</v>
      </c>
      <c r="AH9" s="7"/>
      <c r="AI9" s="7"/>
    </row>
    <row r="10" spans="1:35" x14ac:dyDescent="0.3">
      <c r="A10">
        <v>9</v>
      </c>
      <c r="B10" s="4"/>
      <c r="C10" s="5"/>
      <c r="D10" s="7">
        <v>1</v>
      </c>
      <c r="E10" t="s">
        <v>165</v>
      </c>
      <c r="G10" s="7" t="s">
        <v>161</v>
      </c>
      <c r="H10" s="11" t="s">
        <v>160</v>
      </c>
      <c r="I10" s="9" t="s">
        <v>12</v>
      </c>
      <c r="J10" s="7">
        <v>23.5</v>
      </c>
      <c r="K10" s="7">
        <v>10</v>
      </c>
      <c r="L10" s="7">
        <v>30.4</v>
      </c>
      <c r="M10" s="7">
        <v>381</v>
      </c>
      <c r="N10" s="7">
        <f>Tabelle1563[[#This Row],[Anzahl Frames]]/Tabelle1563[[#This Row],[Aufnahmezeit '[s']]]</f>
        <v>12.532894736842106</v>
      </c>
      <c r="O10" s="7">
        <f>1/Tabelle1563[[#This Row],[Mean fps ]]</f>
        <v>7.9790026246719159E-2</v>
      </c>
      <c r="P10" s="7">
        <v>40</v>
      </c>
      <c r="S10" s="7">
        <v>1.496</v>
      </c>
      <c r="T10" s="7">
        <v>1.2789999999999999</v>
      </c>
      <c r="U10" s="7">
        <v>1.9530000000000001</v>
      </c>
      <c r="V10" s="7"/>
      <c r="W10" s="7"/>
      <c r="X10" s="7"/>
      <c r="Y10" s="7"/>
      <c r="Z10" s="7" t="e" cm="1">
        <f t="array" ref="Z10">STABW</f>
        <v>#NAME?</v>
      </c>
      <c r="AA10" s="7"/>
      <c r="AB10" s="7"/>
      <c r="AC10" s="7"/>
      <c r="AD10" s="7"/>
      <c r="AE10" s="7"/>
      <c r="AF10" s="7"/>
      <c r="AG10" s="7" t="e">
        <f>1-Tabelle1563[[#This Row],[Mean Visc. 1 '[mPas']]]/#REF!</f>
        <v>#REF!</v>
      </c>
      <c r="AH10" s="7"/>
      <c r="AI10" s="7"/>
    </row>
    <row r="11" spans="1:35" s="14" customFormat="1" ht="15" thickBot="1" x14ac:dyDescent="0.35">
      <c r="A11">
        <v>10</v>
      </c>
      <c r="B11" s="15"/>
      <c r="C11" s="16"/>
      <c r="D11" s="7">
        <v>1</v>
      </c>
      <c r="E11" t="s">
        <v>165</v>
      </c>
      <c r="F11"/>
      <c r="G11" s="7" t="s">
        <v>161</v>
      </c>
      <c r="H11" s="21" t="s">
        <v>160</v>
      </c>
      <c r="I11" s="9" t="s">
        <v>12</v>
      </c>
      <c r="J11" s="17">
        <v>23.7</v>
      </c>
      <c r="K11" s="17">
        <v>10</v>
      </c>
      <c r="L11" s="17">
        <v>30.8</v>
      </c>
      <c r="M11" s="17">
        <v>385</v>
      </c>
      <c r="N11" s="17">
        <f>Tabelle1563[[#This Row],[Anzahl Frames]]/Tabelle1563[[#This Row],[Aufnahmezeit '[s']]]</f>
        <v>12.5</v>
      </c>
      <c r="O11" s="17">
        <f>1/Tabelle1563[[#This Row],[Mean fps ]]</f>
        <v>0.08</v>
      </c>
      <c r="P11" s="17">
        <v>40</v>
      </c>
      <c r="Q11" s="20"/>
      <c r="R11" s="21"/>
      <c r="S11" s="17">
        <v>1.536</v>
      </c>
      <c r="T11" s="17">
        <v>1.3520000000000001</v>
      </c>
      <c r="U11" s="17">
        <v>1.86</v>
      </c>
      <c r="V11" s="17"/>
      <c r="W11" s="7">
        <f>SUM(S2:S11)/10</f>
        <v>1.4729000000000001</v>
      </c>
      <c r="X11" s="7">
        <f t="shared" ref="X11:Y11" si="0">SUM(T2:T11)/10</f>
        <v>1.2697000000000001</v>
      </c>
      <c r="Y11" s="7">
        <f t="shared" si="0"/>
        <v>1.9224999999999999</v>
      </c>
      <c r="Z11" s="17">
        <f>_xlfn.STDEV.S(S2:S11)</f>
        <v>5.8771591776980131E-2</v>
      </c>
      <c r="AA11" s="17">
        <f t="shared" ref="AA11:AB11" si="1">_xlfn.STDEV.S(T2:T11)</f>
        <v>6.4546365763947816E-2</v>
      </c>
      <c r="AB11" s="17">
        <f t="shared" si="1"/>
        <v>5.608178551603598E-2</v>
      </c>
      <c r="AC11" s="17">
        <f>Tabelle1563[[#This Row],[Standardabweichung 1]]/Tabelle1563[[#This Row],[Mean Visc. 1 '[mPas']]]</f>
        <v>3.990195653267712E-2</v>
      </c>
      <c r="AD11" s="17">
        <f>Tabelle1563[[#This Row],[Standardabweichung 2]]/Tabelle1563[[#This Row],[Mean Visc. 2 '[mPas']2]]</f>
        <v>5.0835918535045925E-2</v>
      </c>
      <c r="AE11" s="17">
        <f>Tabelle1563[[#This Row],[Standardabweichung 3]]/Tabelle1563[[#This Row],[Mean Visc. 3 '[mPas']3]]</f>
        <v>2.91712798522944E-2</v>
      </c>
      <c r="AF11" s="17"/>
      <c r="AG11" s="17" t="e">
        <f>1-Tabelle1563[[#This Row],[Mean Visc. 1 '[mPas']]]/#REF!</f>
        <v>#REF!</v>
      </c>
      <c r="AH11" s="17"/>
      <c r="AI11" s="17"/>
    </row>
    <row r="12" spans="1:35" ht="15" thickTop="1" x14ac:dyDescent="0.3">
      <c r="A12">
        <v>11</v>
      </c>
      <c r="B12" s="4"/>
      <c r="C12" s="5"/>
      <c r="D12" s="7">
        <v>1</v>
      </c>
      <c r="E12" t="s">
        <v>165</v>
      </c>
      <c r="G12" s="7" t="s">
        <v>161</v>
      </c>
      <c r="H12" s="11" t="s">
        <v>163</v>
      </c>
      <c r="I12" s="9" t="s">
        <v>12</v>
      </c>
      <c r="J12" s="7">
        <v>21.8</v>
      </c>
      <c r="K12" s="7">
        <v>10</v>
      </c>
      <c r="L12" s="7">
        <v>30.89</v>
      </c>
      <c r="M12" s="7">
        <v>390</v>
      </c>
      <c r="N12" s="7">
        <f>Tabelle1563[[#This Row],[Anzahl Frames]]/Tabelle1563[[#This Row],[Aufnahmezeit '[s']]]</f>
        <v>12.625445127873098</v>
      </c>
      <c r="O12" s="7">
        <f>1/Tabelle1563[[#This Row],[Mean fps ]]</f>
        <v>7.9205128205128206E-2</v>
      </c>
      <c r="P12" s="7">
        <v>40</v>
      </c>
      <c r="S12" s="7">
        <v>1.3169999999999999</v>
      </c>
      <c r="T12" s="7">
        <v>1.0649999999999999</v>
      </c>
      <c r="U12" s="7">
        <v>1.7549999999999999</v>
      </c>
      <c r="V12" s="7"/>
      <c r="W12" s="7"/>
      <c r="X12" s="7"/>
      <c r="Y12" s="7"/>
      <c r="Z12" s="7" t="e" cm="1">
        <f t="array" ref="Z12">STABW</f>
        <v>#NAME?</v>
      </c>
      <c r="AA12" s="7"/>
      <c r="AB12" s="7"/>
      <c r="AC12" s="7"/>
      <c r="AD12" s="7"/>
      <c r="AE12" s="7"/>
      <c r="AF12" s="7"/>
      <c r="AG12" s="7" t="e">
        <f>1-Tabelle1563[[#This Row],[Mean Visc. 1 '[mPas']]]/#REF!</f>
        <v>#REF!</v>
      </c>
      <c r="AH12" s="7"/>
      <c r="AI12" s="7"/>
    </row>
    <row r="13" spans="1:35" x14ac:dyDescent="0.3">
      <c r="A13">
        <v>12</v>
      </c>
      <c r="B13" s="4"/>
      <c r="C13" s="5"/>
      <c r="D13" s="7">
        <v>1</v>
      </c>
      <c r="E13" t="s">
        <v>165</v>
      </c>
      <c r="G13" s="7" t="s">
        <v>161</v>
      </c>
      <c r="H13" s="11" t="s">
        <v>163</v>
      </c>
      <c r="I13" s="9" t="s">
        <v>12</v>
      </c>
      <c r="J13" s="7">
        <v>21.9</v>
      </c>
      <c r="K13" s="7">
        <v>10</v>
      </c>
      <c r="L13" s="7">
        <v>30.34</v>
      </c>
      <c r="M13" s="7">
        <v>379</v>
      </c>
      <c r="N13" s="7">
        <f>Tabelle1563[[#This Row],[Anzahl Frames]]/Tabelle1563[[#This Row],[Aufnahmezeit '[s']]]</f>
        <v>12.491760052735662</v>
      </c>
      <c r="O13" s="7">
        <f>1/Tabelle1563[[#This Row],[Mean fps ]]</f>
        <v>8.0052770448548818E-2</v>
      </c>
      <c r="P13" s="7">
        <v>40</v>
      </c>
      <c r="S13" s="7">
        <v>1.262</v>
      </c>
      <c r="T13" s="7">
        <v>1.069</v>
      </c>
      <c r="U13" s="7">
        <v>1.8149999999999999</v>
      </c>
      <c r="V13" s="7"/>
      <c r="W13" s="7"/>
      <c r="X13" s="7"/>
      <c r="Y13" s="7"/>
      <c r="Z13" s="7" t="e" cm="1">
        <f t="array" ref="Z13">STABW</f>
        <v>#NAME?</v>
      </c>
      <c r="AA13" s="7"/>
      <c r="AB13" s="7"/>
      <c r="AC13" s="7"/>
      <c r="AD13" s="7"/>
      <c r="AE13" s="7"/>
      <c r="AF13" s="7"/>
      <c r="AG13" s="7" t="e">
        <f>1-Tabelle1563[[#This Row],[Mean Visc. 1 '[mPas']]]/#REF!</f>
        <v>#REF!</v>
      </c>
      <c r="AH13" s="7"/>
      <c r="AI13" s="7"/>
    </row>
    <row r="14" spans="1:35" x14ac:dyDescent="0.3">
      <c r="A14">
        <v>13</v>
      </c>
      <c r="B14" s="4"/>
      <c r="C14" s="5"/>
      <c r="D14" s="7">
        <v>1</v>
      </c>
      <c r="E14" t="s">
        <v>165</v>
      </c>
      <c r="G14" s="7" t="s">
        <v>161</v>
      </c>
      <c r="H14" s="11" t="s">
        <v>163</v>
      </c>
      <c r="I14" s="9" t="s">
        <v>12</v>
      </c>
      <c r="J14" s="7">
        <v>22</v>
      </c>
      <c r="K14" s="7">
        <v>10</v>
      </c>
      <c r="L14" s="7">
        <v>29.68</v>
      </c>
      <c r="M14" s="7">
        <v>371</v>
      </c>
      <c r="N14" s="7">
        <f>Tabelle1563[[#This Row],[Anzahl Frames]]/Tabelle1563[[#This Row],[Aufnahmezeit '[s']]]</f>
        <v>12.5</v>
      </c>
      <c r="O14" s="7">
        <f>1/Tabelle1563[[#This Row],[Mean fps ]]</f>
        <v>0.08</v>
      </c>
      <c r="P14" s="7">
        <v>40</v>
      </c>
      <c r="S14" s="7">
        <v>1.355</v>
      </c>
      <c r="T14" s="7">
        <v>1.121</v>
      </c>
      <c r="U14" s="7">
        <v>1.806</v>
      </c>
      <c r="V14" s="7"/>
      <c r="W14" s="7"/>
      <c r="X14" s="7"/>
      <c r="Y14" s="7"/>
      <c r="Z14" s="7" t="e" cm="1">
        <f t="array" ref="Z14">STABW</f>
        <v>#NAME?</v>
      </c>
      <c r="AA14" s="7"/>
      <c r="AB14" s="7"/>
      <c r="AC14" s="7"/>
      <c r="AD14" s="7"/>
      <c r="AE14" s="7"/>
      <c r="AF14" s="7"/>
      <c r="AG14" s="7" t="e">
        <f>1-Tabelle1563[[#This Row],[Mean Visc. 1 '[mPas']]]/#REF!</f>
        <v>#REF!</v>
      </c>
      <c r="AH14" s="7"/>
      <c r="AI14" s="7"/>
    </row>
    <row r="15" spans="1:35" x14ac:dyDescent="0.3">
      <c r="A15">
        <v>14</v>
      </c>
      <c r="B15" s="4"/>
      <c r="C15" s="5"/>
      <c r="D15" s="7">
        <v>1</v>
      </c>
      <c r="E15" t="s">
        <v>165</v>
      </c>
      <c r="G15" s="7" t="s">
        <v>161</v>
      </c>
      <c r="H15" s="11" t="s">
        <v>163</v>
      </c>
      <c r="I15" s="9" t="s">
        <v>12</v>
      </c>
      <c r="J15" s="7">
        <v>22.1</v>
      </c>
      <c r="K15" s="7">
        <v>10</v>
      </c>
      <c r="L15" s="7">
        <v>30.08</v>
      </c>
      <c r="M15" s="7">
        <v>376</v>
      </c>
      <c r="N15" s="7">
        <f>Tabelle1563[[#This Row],[Anzahl Frames]]/Tabelle1563[[#This Row],[Aufnahmezeit '[s']]]</f>
        <v>12.5</v>
      </c>
      <c r="O15" s="7">
        <f>1/Tabelle1563[[#This Row],[Mean fps ]]</f>
        <v>0.08</v>
      </c>
      <c r="P15" s="7">
        <v>40</v>
      </c>
      <c r="S15" s="7">
        <v>1.4359999999999999</v>
      </c>
      <c r="T15" s="7">
        <v>1.2270000000000001</v>
      </c>
      <c r="U15" s="7">
        <v>1.849</v>
      </c>
      <c r="V15" s="7"/>
      <c r="W15" s="7"/>
      <c r="X15" s="7"/>
      <c r="Y15" s="7"/>
      <c r="Z15" s="7" t="e" cm="1">
        <f t="array" ref="Z15">STABW</f>
        <v>#NAME?</v>
      </c>
      <c r="AA15" s="7"/>
      <c r="AB15" s="7"/>
      <c r="AC15" s="7"/>
      <c r="AD15" s="7"/>
      <c r="AE15" s="7"/>
      <c r="AF15" s="7"/>
      <c r="AG15" s="7" t="e">
        <f>1-Tabelle1563[[#This Row],[Mean Visc. 1 '[mPas']]]/#REF!</f>
        <v>#REF!</v>
      </c>
      <c r="AH15" s="7"/>
      <c r="AI15" s="7"/>
    </row>
    <row r="16" spans="1:35" s="14" customFormat="1" ht="15" thickBot="1" x14ac:dyDescent="0.35">
      <c r="A16">
        <v>15</v>
      </c>
      <c r="B16" s="15"/>
      <c r="C16" s="16"/>
      <c r="D16" s="7">
        <v>1</v>
      </c>
      <c r="E16" t="s">
        <v>165</v>
      </c>
      <c r="F16"/>
      <c r="G16" s="7" t="s">
        <v>161</v>
      </c>
      <c r="H16" s="21" t="s">
        <v>163</v>
      </c>
      <c r="I16" s="9" t="s">
        <v>12</v>
      </c>
      <c r="J16" s="17">
        <v>22.2</v>
      </c>
      <c r="K16" s="17">
        <v>10</v>
      </c>
      <c r="L16" s="17">
        <v>29.76</v>
      </c>
      <c r="M16" s="17">
        <v>373</v>
      </c>
      <c r="N16" s="17">
        <f>Tabelle1563[[#This Row],[Anzahl Frames]]/Tabelle1563[[#This Row],[Aufnahmezeit '[s']]]</f>
        <v>12.533602150537634</v>
      </c>
      <c r="O16" s="17">
        <f>1/Tabelle1563[[#This Row],[Mean fps ]]</f>
        <v>7.978552278820375E-2</v>
      </c>
      <c r="P16" s="17">
        <v>40</v>
      </c>
      <c r="Q16" s="20"/>
      <c r="R16" s="21"/>
      <c r="S16" s="17">
        <v>1.3959999999999999</v>
      </c>
      <c r="T16" s="17">
        <v>1.2230000000000001</v>
      </c>
      <c r="U16" s="17">
        <v>1.91</v>
      </c>
      <c r="V16" s="17"/>
      <c r="W16" s="17">
        <f>SUM(S12:S16)/5</f>
        <v>1.3531999999999997</v>
      </c>
      <c r="X16" s="17">
        <f t="shared" ref="X16" si="2">SUM(T12:T16)/5</f>
        <v>1.141</v>
      </c>
      <c r="Y16" s="17">
        <f t="shared" ref="Y16" si="3">SUM(U12:U16)/5</f>
        <v>1.827</v>
      </c>
      <c r="Z16" s="17">
        <f>_xlfn.STDEV.S(S12:S16)</f>
        <v>6.7673480773490557E-2</v>
      </c>
      <c r="AA16" s="17">
        <f t="shared" ref="AA16" si="4">_xlfn.STDEV.S(T12:T16)</f>
        <v>7.9812279756939733E-2</v>
      </c>
      <c r="AB16" s="17">
        <f t="shared" ref="AB16" si="5">_xlfn.STDEV.S(U12:U16)</f>
        <v>5.7319281223685979E-2</v>
      </c>
      <c r="AC16" s="17">
        <f>Tabelle1563[[#This Row],[Standardabweichung 1]]/Tabelle1563[[#This Row],[Mean Visc. 1 '[mPas']]]</f>
        <v>5.0009962144169799E-2</v>
      </c>
      <c r="AD16" s="17">
        <f>Tabelle1563[[#This Row],[Standardabweichung 2]]/Tabelle1563[[#This Row],[Mean Visc. 2 '[mPas']2]]</f>
        <v>6.9949412582769266E-2</v>
      </c>
      <c r="AE16" s="17">
        <f>Tabelle1563[[#This Row],[Standardabweichung 3]]/Tabelle1563[[#This Row],[Mean Visc. 3 '[mPas']3]]</f>
        <v>3.1373443472187179E-2</v>
      </c>
      <c r="AF16" s="17"/>
      <c r="AG16" s="17" t="e">
        <f>1-Tabelle1563[[#This Row],[Mean Visc. 1 '[mPas']]]/#REF!</f>
        <v>#REF!</v>
      </c>
      <c r="AH16" s="17"/>
      <c r="AI16" s="17"/>
    </row>
    <row r="17" spans="1:35" ht="15" thickTop="1" x14ac:dyDescent="0.3">
      <c r="A17">
        <v>16</v>
      </c>
      <c r="B17" s="4"/>
      <c r="C17" s="5"/>
      <c r="D17" s="7">
        <v>1</v>
      </c>
      <c r="E17" t="s">
        <v>165</v>
      </c>
      <c r="G17" s="7" t="s">
        <v>161</v>
      </c>
      <c r="H17" s="11" t="s">
        <v>163</v>
      </c>
      <c r="I17" s="9" t="s">
        <v>12</v>
      </c>
      <c r="J17" s="7">
        <v>22.3</v>
      </c>
      <c r="K17" s="7">
        <v>10</v>
      </c>
      <c r="L17" s="7">
        <v>29.37</v>
      </c>
      <c r="M17" s="7">
        <v>367</v>
      </c>
      <c r="N17" s="7">
        <f>Tabelle1563[[#This Row],[Anzahl Frames]]/Tabelle1563[[#This Row],[Aufnahmezeit '[s']]]</f>
        <v>12.495743956418114</v>
      </c>
      <c r="O17" s="7">
        <f>1/Tabelle1563[[#This Row],[Mean fps ]]</f>
        <v>8.0027247956403272E-2</v>
      </c>
      <c r="P17" s="7">
        <v>40</v>
      </c>
      <c r="S17" s="7">
        <v>1.41</v>
      </c>
      <c r="T17" s="7">
        <v>1.145</v>
      </c>
      <c r="U17" s="7">
        <v>1.9039999999999999</v>
      </c>
      <c r="V17" s="7"/>
      <c r="W17" s="7"/>
      <c r="X17" s="7"/>
      <c r="Y17" s="7"/>
      <c r="Z17" s="7" t="e" cm="1">
        <f t="array" ref="Z17">STABW</f>
        <v>#NAME?</v>
      </c>
      <c r="AA17" s="7"/>
      <c r="AB17" s="7"/>
      <c r="AC17" s="7"/>
      <c r="AD17" s="7"/>
      <c r="AE17" s="7"/>
      <c r="AF17" s="7"/>
      <c r="AG17" s="7" t="e">
        <f>1-Tabelle1563[[#This Row],[Mean Visc. 1 '[mPas']]]/#REF!</f>
        <v>#REF!</v>
      </c>
      <c r="AH17" s="7"/>
      <c r="AI17" s="7"/>
    </row>
    <row r="18" spans="1:35" x14ac:dyDescent="0.3">
      <c r="A18">
        <v>17</v>
      </c>
      <c r="B18" s="4"/>
      <c r="C18" s="5"/>
      <c r="D18" s="7">
        <v>1</v>
      </c>
      <c r="E18" t="s">
        <v>165</v>
      </c>
      <c r="G18" s="7" t="s">
        <v>161</v>
      </c>
      <c r="H18" s="11" t="s">
        <v>163</v>
      </c>
      <c r="I18" s="9" t="s">
        <v>12</v>
      </c>
      <c r="J18" s="7">
        <v>22.4</v>
      </c>
      <c r="K18" s="7">
        <v>10</v>
      </c>
      <c r="L18" s="7">
        <v>29.52</v>
      </c>
      <c r="M18" s="7">
        <v>369</v>
      </c>
      <c r="N18" s="7">
        <f>Tabelle1563[[#This Row],[Anzahl Frames]]/Tabelle1563[[#This Row],[Aufnahmezeit '[s']]]</f>
        <v>12.5</v>
      </c>
      <c r="O18" s="7">
        <f>1/Tabelle1563[[#This Row],[Mean fps ]]</f>
        <v>0.08</v>
      </c>
      <c r="P18" s="7">
        <v>40</v>
      </c>
      <c r="S18" s="7">
        <v>1.4330000000000001</v>
      </c>
      <c r="T18" s="7">
        <v>1.268</v>
      </c>
      <c r="U18" s="7">
        <v>1.8819999999999999</v>
      </c>
      <c r="V18" s="7"/>
      <c r="W18" s="7"/>
      <c r="X18" s="7"/>
      <c r="Y18" s="7"/>
      <c r="Z18" s="7" t="e" cm="1">
        <f t="array" ref="Z18">STABW</f>
        <v>#NAME?</v>
      </c>
      <c r="AA18" s="7"/>
      <c r="AB18" s="7"/>
      <c r="AC18" s="7"/>
      <c r="AD18" s="7"/>
      <c r="AE18" s="7"/>
      <c r="AF18" s="7"/>
      <c r="AG18" s="7" t="e">
        <f>1-Tabelle1563[[#This Row],[Mean Visc. 1 '[mPas']]]/#REF!</f>
        <v>#REF!</v>
      </c>
      <c r="AH18" s="7"/>
      <c r="AI18" s="7"/>
    </row>
    <row r="19" spans="1:35" x14ac:dyDescent="0.3">
      <c r="A19">
        <v>18</v>
      </c>
      <c r="B19" s="4"/>
      <c r="C19" s="5"/>
      <c r="D19" s="7">
        <v>1</v>
      </c>
      <c r="E19" t="s">
        <v>165</v>
      </c>
      <c r="G19" s="7" t="s">
        <v>161</v>
      </c>
      <c r="H19" s="11" t="s">
        <v>163</v>
      </c>
      <c r="I19" s="9" t="s">
        <v>12</v>
      </c>
      <c r="J19" s="7">
        <v>22.5</v>
      </c>
      <c r="K19" s="7">
        <v>10</v>
      </c>
      <c r="L19" s="7">
        <v>29.92</v>
      </c>
      <c r="M19" s="7">
        <v>375</v>
      </c>
      <c r="N19" s="7">
        <f>Tabelle1563[[#This Row],[Anzahl Frames]]/Tabelle1563[[#This Row],[Aufnahmezeit '[s']]]</f>
        <v>12.533422459893048</v>
      </c>
      <c r="O19" s="7">
        <f>1/Tabelle1563[[#This Row],[Mean fps ]]</f>
        <v>7.9786666666666672E-2</v>
      </c>
      <c r="P19" s="7">
        <v>40</v>
      </c>
      <c r="S19" s="7">
        <v>1.3779999999999999</v>
      </c>
      <c r="T19" s="7">
        <v>1.121</v>
      </c>
      <c r="U19" s="7">
        <v>1.8859999999999999</v>
      </c>
      <c r="V19" s="7"/>
      <c r="W19" s="7"/>
      <c r="X19" s="7"/>
      <c r="Y19" s="7"/>
      <c r="Z19" s="7" t="e" cm="1">
        <f t="array" ref="Z19">STABW</f>
        <v>#NAME?</v>
      </c>
      <c r="AA19" s="7"/>
      <c r="AB19" s="7"/>
      <c r="AC19" s="7"/>
      <c r="AD19" s="7"/>
      <c r="AE19" s="7"/>
      <c r="AF19" s="7"/>
      <c r="AG19" s="7" t="e">
        <f>1-Tabelle1563[[#This Row],[Mean Visc. 1 '[mPas']]]/#REF!</f>
        <v>#REF!</v>
      </c>
      <c r="AH19" s="7"/>
      <c r="AI19" s="7"/>
    </row>
    <row r="20" spans="1:35" x14ac:dyDescent="0.3">
      <c r="A20">
        <v>19</v>
      </c>
      <c r="B20" s="4"/>
      <c r="C20" s="5"/>
      <c r="D20" s="7">
        <v>1</v>
      </c>
      <c r="E20" t="s">
        <v>165</v>
      </c>
      <c r="G20" s="7" t="s">
        <v>161</v>
      </c>
      <c r="H20" s="11" t="s">
        <v>163</v>
      </c>
      <c r="I20" s="9" t="s">
        <v>12</v>
      </c>
      <c r="J20" s="7">
        <v>22.5</v>
      </c>
      <c r="K20" s="7">
        <v>10</v>
      </c>
      <c r="L20" s="7">
        <v>30.9</v>
      </c>
      <c r="M20" s="7">
        <v>386</v>
      </c>
      <c r="N20" s="7">
        <f>Tabelle1563[[#This Row],[Anzahl Frames]]/Tabelle1563[[#This Row],[Aufnahmezeit '[s']]]</f>
        <v>12.491909385113269</v>
      </c>
      <c r="O20" s="7">
        <f>1/Tabelle1563[[#This Row],[Mean fps ]]</f>
        <v>8.0051813471502586E-2</v>
      </c>
      <c r="P20" s="7">
        <v>40</v>
      </c>
      <c r="S20" s="7">
        <v>1.369</v>
      </c>
      <c r="T20" s="7">
        <v>1.254</v>
      </c>
      <c r="U20" s="7">
        <v>1.8440000000000001</v>
      </c>
      <c r="V20" s="7"/>
      <c r="W20" s="7"/>
      <c r="X20" s="7"/>
      <c r="Y20" s="7"/>
      <c r="Z20" s="7" t="e" cm="1">
        <f t="array" ref="Z20">STABW</f>
        <v>#NAME?</v>
      </c>
      <c r="AA20" s="7"/>
      <c r="AB20" s="7"/>
      <c r="AC20" s="7"/>
      <c r="AD20" s="7"/>
      <c r="AE20" s="7"/>
      <c r="AF20" s="7"/>
      <c r="AG20" s="7" t="e">
        <f>1-Tabelle1563[[#This Row],[Mean Visc. 1 '[mPas']]]/#REF!</f>
        <v>#REF!</v>
      </c>
      <c r="AH20" s="7"/>
      <c r="AI20" s="7"/>
    </row>
    <row r="21" spans="1:35" s="14" customFormat="1" ht="15" thickBot="1" x14ac:dyDescent="0.35">
      <c r="A21">
        <v>20</v>
      </c>
      <c r="B21" s="15"/>
      <c r="C21" s="16"/>
      <c r="D21" s="7">
        <v>1</v>
      </c>
      <c r="E21" t="s">
        <v>165</v>
      </c>
      <c r="F21"/>
      <c r="G21" s="7" t="s">
        <v>161</v>
      </c>
      <c r="H21" s="21" t="s">
        <v>163</v>
      </c>
      <c r="I21" s="9" t="s">
        <v>12</v>
      </c>
      <c r="J21" s="17">
        <v>22.6</v>
      </c>
      <c r="K21" s="17">
        <v>10</v>
      </c>
      <c r="L21" s="17">
        <v>30.64</v>
      </c>
      <c r="M21" s="17">
        <v>383</v>
      </c>
      <c r="N21" s="17">
        <f>Tabelle1563[[#This Row],[Anzahl Frames]]/Tabelle1563[[#This Row],[Aufnahmezeit '[s']]]</f>
        <v>12.5</v>
      </c>
      <c r="O21" s="17">
        <f>1/Tabelle1563[[#This Row],[Mean fps ]]</f>
        <v>0.08</v>
      </c>
      <c r="P21" s="17">
        <v>40</v>
      </c>
      <c r="Q21" s="20"/>
      <c r="R21" s="21"/>
      <c r="S21" s="17">
        <v>1.371</v>
      </c>
      <c r="T21" s="17">
        <v>1.2529999999999999</v>
      </c>
      <c r="U21" s="17">
        <v>1.9239999999999999</v>
      </c>
      <c r="V21" s="17"/>
      <c r="W21" s="7">
        <f>SUM(S12:S21)/10</f>
        <v>1.3726999999999998</v>
      </c>
      <c r="X21" s="7">
        <f t="shared" ref="X21:Y21" si="6">SUM(T12:T21)/10</f>
        <v>1.1746000000000001</v>
      </c>
      <c r="Y21" s="7">
        <f t="shared" si="6"/>
        <v>1.8574999999999999</v>
      </c>
      <c r="Z21" s="17">
        <f>_xlfn.STDEV.S(S12:S21)</f>
        <v>5.3011633943251854E-2</v>
      </c>
      <c r="AA21" s="17">
        <f t="shared" ref="AA21:AB21" si="7">_xlfn.STDEV.S(T12:T21)</f>
        <v>7.8915144300698098E-2</v>
      </c>
      <c r="AB21" s="17">
        <f t="shared" si="7"/>
        <v>5.3719952841875536E-2</v>
      </c>
      <c r="AC21" s="17">
        <f>Tabelle1563[[#This Row],[Standardabweichung 1]]/Tabelle1563[[#This Row],[Mean Visc. 1 '[mPas']]]</f>
        <v>3.8618513836418636E-2</v>
      </c>
      <c r="AD21" s="17">
        <f>Tabelle1563[[#This Row],[Standardabweichung 2]]/Tabelle1563[[#This Row],[Mean Visc. 2 '[mPas']2]]</f>
        <v>6.718469632274654E-2</v>
      </c>
      <c r="AE21" s="17">
        <f>Tabelle1563[[#This Row],[Standardabweichung 3]]/Tabelle1563[[#This Row],[Mean Visc. 3 '[mPas']3]]</f>
        <v>2.8920566805854933E-2</v>
      </c>
      <c r="AF21" s="17"/>
      <c r="AG21" s="17" t="e">
        <f>1-Tabelle1563[[#This Row],[Mean Visc. 1 '[mPas']]]/#REF!</f>
        <v>#REF!</v>
      </c>
      <c r="AH21" s="17"/>
      <c r="AI21" s="17"/>
    </row>
    <row r="22" spans="1:35" ht="15" thickTop="1" x14ac:dyDescent="0.3">
      <c r="A22">
        <v>21</v>
      </c>
      <c r="B22" s="4"/>
      <c r="C22" s="5"/>
      <c r="D22" s="7">
        <v>1</v>
      </c>
      <c r="E22" t="s">
        <v>165</v>
      </c>
      <c r="G22" s="7" t="s">
        <v>161</v>
      </c>
      <c r="H22" s="11" t="s">
        <v>164</v>
      </c>
      <c r="I22" s="9" t="s">
        <v>12</v>
      </c>
      <c r="J22" s="7">
        <v>21.3</v>
      </c>
      <c r="K22" s="7">
        <v>14</v>
      </c>
      <c r="L22" s="7">
        <v>31.05</v>
      </c>
      <c r="M22" s="7">
        <v>392</v>
      </c>
      <c r="N22" s="7">
        <f>Tabelle1563[[#This Row],[Anzahl Frames]]/Tabelle1563[[#This Row],[Aufnahmezeit '[s']]]</f>
        <v>12.624798711755233</v>
      </c>
      <c r="O22" s="7">
        <f>1/Tabelle1563[[#This Row],[Mean fps ]]</f>
        <v>7.9209183673469394E-2</v>
      </c>
      <c r="P22" s="7">
        <v>40</v>
      </c>
      <c r="S22" s="7">
        <v>1.43</v>
      </c>
      <c r="T22" s="7">
        <v>1.26</v>
      </c>
      <c r="U22" s="7">
        <v>1.8979999999999999</v>
      </c>
      <c r="V22" s="7"/>
      <c r="W22" s="7"/>
      <c r="X22" s="7"/>
      <c r="Y22" s="7"/>
      <c r="Z22" s="7" t="e" cm="1">
        <f t="array" ref="Z22">STABW</f>
        <v>#NAME?</v>
      </c>
      <c r="AA22" s="7"/>
      <c r="AB22" s="7"/>
      <c r="AC22" s="7" t="e">
        <f>Tabelle1563[[#This Row],[Standardabweichung 1]]/Tabelle1563[[#This Row],[Mean Visc. 1 '[mPas']]]</f>
        <v>#NAME?</v>
      </c>
      <c r="AD22" s="7" t="e">
        <f>Tabelle156[[#This Row],[Standardabweichung 2]]/Tabelle156[[#This Row],[Mean Visc. 2 '[mPas']2]]</f>
        <v>#DIV/0!</v>
      </c>
      <c r="AE22" s="7" t="e">
        <f>Tabelle156[[#This Row],[Standardabweichung 3]]/Tabelle156[[#This Row],[Mean Visc. 3 '[mPas']3]]</f>
        <v>#DIV/0!</v>
      </c>
      <c r="AF22" s="7"/>
      <c r="AG22" s="7" t="e">
        <f>1-Tabelle1563[[#This Row],[Mean Visc. 1 '[mPas']]]/#REF!</f>
        <v>#REF!</v>
      </c>
      <c r="AH22" s="7"/>
      <c r="AI22" s="7"/>
    </row>
    <row r="23" spans="1:35" x14ac:dyDescent="0.3">
      <c r="A23">
        <v>22</v>
      </c>
      <c r="B23" s="4"/>
      <c r="C23" s="5"/>
      <c r="D23" s="7">
        <v>1</v>
      </c>
      <c r="E23" t="s">
        <v>165</v>
      </c>
      <c r="G23" s="7" t="s">
        <v>161</v>
      </c>
      <c r="H23" s="11" t="s">
        <v>164</v>
      </c>
      <c r="I23" s="9" t="s">
        <v>12</v>
      </c>
      <c r="J23" s="7">
        <v>21.4</v>
      </c>
      <c r="K23" s="7">
        <v>14</v>
      </c>
      <c r="L23" s="7">
        <v>30</v>
      </c>
      <c r="M23" s="7">
        <v>376</v>
      </c>
      <c r="N23" s="7">
        <f>Tabelle1563[[#This Row],[Anzahl Frames]]/Tabelle1563[[#This Row],[Aufnahmezeit '[s']]]</f>
        <v>12.533333333333333</v>
      </c>
      <c r="O23" s="7">
        <f>1/Tabelle1563[[#This Row],[Mean fps ]]</f>
        <v>7.9787234042553196E-2</v>
      </c>
      <c r="P23" s="7">
        <v>40</v>
      </c>
      <c r="S23" s="7">
        <v>1.4339999999999999</v>
      </c>
      <c r="T23" s="7">
        <v>1.23</v>
      </c>
      <c r="U23" s="7">
        <v>1.9339999999999999</v>
      </c>
      <c r="V23" s="7"/>
      <c r="W23" s="7"/>
      <c r="X23" s="7"/>
      <c r="Y23" s="7"/>
      <c r="Z23" s="7" t="e" cm="1">
        <f t="array" ref="Z23">STABW</f>
        <v>#NAME?</v>
      </c>
      <c r="AA23" s="7"/>
      <c r="AB23" s="7"/>
      <c r="AC23" s="7" t="e">
        <f>Tabelle1563[[#This Row],[Standardabweichung 1]]/Tabelle1563[[#This Row],[Mean Visc. 1 '[mPas']]]</f>
        <v>#NAME?</v>
      </c>
      <c r="AD23" s="7" t="e">
        <f>Tabelle156[[#This Row],[Standardabweichung 2]]/Tabelle156[[#This Row],[Mean Visc. 2 '[mPas']2]]</f>
        <v>#DIV/0!</v>
      </c>
      <c r="AE23" s="7" t="e">
        <f>Tabelle156[[#This Row],[Standardabweichung 3]]/Tabelle156[[#This Row],[Mean Visc. 3 '[mPas']3]]</f>
        <v>#DIV/0!</v>
      </c>
      <c r="AF23" s="7"/>
      <c r="AG23" s="7" t="e">
        <f>1-Tabelle1563[[#This Row],[Mean Visc. 1 '[mPas']]]/#REF!</f>
        <v>#REF!</v>
      </c>
      <c r="AH23" s="7"/>
      <c r="AI23" s="7"/>
    </row>
    <row r="24" spans="1:35" x14ac:dyDescent="0.3">
      <c r="A24">
        <v>23</v>
      </c>
      <c r="B24" s="4"/>
      <c r="C24" s="5"/>
      <c r="D24" s="7">
        <v>1</v>
      </c>
      <c r="E24" t="s">
        <v>165</v>
      </c>
      <c r="G24" s="7" t="s">
        <v>161</v>
      </c>
      <c r="H24" s="11" t="s">
        <v>164</v>
      </c>
      <c r="I24" s="9" t="s">
        <v>12</v>
      </c>
      <c r="J24" s="7">
        <v>21.4</v>
      </c>
      <c r="K24" s="7">
        <v>14</v>
      </c>
      <c r="L24" s="7">
        <v>29.44</v>
      </c>
      <c r="M24" s="7">
        <v>369</v>
      </c>
      <c r="N24" s="7">
        <f>Tabelle1563[[#This Row],[Anzahl Frames]]/Tabelle1563[[#This Row],[Aufnahmezeit '[s']]]</f>
        <v>12.533967391304348</v>
      </c>
      <c r="O24" s="7">
        <f>1/Tabelle1563[[#This Row],[Mean fps ]]</f>
        <v>7.978319783197832E-2</v>
      </c>
      <c r="P24" s="7">
        <v>40</v>
      </c>
      <c r="S24" s="7">
        <v>1.528</v>
      </c>
      <c r="T24" s="7">
        <v>1.3480000000000001</v>
      </c>
      <c r="U24" s="7">
        <v>2.1019999999999999</v>
      </c>
      <c r="V24" s="7"/>
      <c r="W24" s="7"/>
      <c r="X24" s="7"/>
      <c r="Y24" s="7"/>
      <c r="Z24" s="7" t="e" cm="1">
        <f t="array" ref="Z24">STABW</f>
        <v>#NAME?</v>
      </c>
      <c r="AA24" s="7"/>
      <c r="AB24" s="7"/>
      <c r="AC24" s="7" t="e">
        <f>Tabelle1563[[#This Row],[Standardabweichung 1]]/Tabelle1563[[#This Row],[Mean Visc. 1 '[mPas']]]</f>
        <v>#NAME?</v>
      </c>
      <c r="AD24" s="7" t="e">
        <f>Tabelle156[[#This Row],[Standardabweichung 2]]/Tabelle156[[#This Row],[Mean Visc. 2 '[mPas']2]]</f>
        <v>#DIV/0!</v>
      </c>
      <c r="AE24" s="7" t="e">
        <f>Tabelle156[[#This Row],[Standardabweichung 3]]/Tabelle156[[#This Row],[Mean Visc. 3 '[mPas']3]]</f>
        <v>#DIV/0!</v>
      </c>
      <c r="AF24" s="7"/>
      <c r="AG24" s="7" t="e">
        <f>1-Tabelle1563[[#This Row],[Mean Visc. 1 '[mPas']]]/#REF!</f>
        <v>#REF!</v>
      </c>
      <c r="AH24" s="7"/>
      <c r="AI24" s="7"/>
    </row>
    <row r="25" spans="1:35" x14ac:dyDescent="0.3">
      <c r="A25">
        <v>24</v>
      </c>
      <c r="B25" s="4"/>
      <c r="C25" s="5"/>
      <c r="D25" s="7">
        <v>1</v>
      </c>
      <c r="E25" t="s">
        <v>165</v>
      </c>
      <c r="G25" s="7" t="s">
        <v>161</v>
      </c>
      <c r="H25" s="11" t="s">
        <v>164</v>
      </c>
      <c r="I25" s="9" t="s">
        <v>12</v>
      </c>
      <c r="J25" s="7">
        <v>21.5</v>
      </c>
      <c r="K25" s="7">
        <v>14</v>
      </c>
      <c r="L25" s="7">
        <v>30.4</v>
      </c>
      <c r="M25" s="7">
        <v>380</v>
      </c>
      <c r="N25" s="7">
        <f>Tabelle1563[[#This Row],[Anzahl Frames]]/Tabelle1563[[#This Row],[Aufnahmezeit '[s']]]</f>
        <v>12.5</v>
      </c>
      <c r="O25" s="7">
        <f>1/Tabelle1563[[#This Row],[Mean fps ]]</f>
        <v>0.08</v>
      </c>
      <c r="P25" s="7">
        <v>40</v>
      </c>
      <c r="S25" s="7">
        <v>1.714</v>
      </c>
      <c r="T25" s="7">
        <v>1.226</v>
      </c>
      <c r="U25" s="7">
        <v>2.3149999999999999</v>
      </c>
      <c r="V25" s="7"/>
      <c r="W25" s="7"/>
      <c r="X25" s="7"/>
      <c r="Y25" s="7"/>
      <c r="Z25" s="7" t="e" cm="1">
        <f t="array" ref="Z25">STABW</f>
        <v>#NAME?</v>
      </c>
      <c r="AA25" s="7"/>
      <c r="AB25" s="7"/>
      <c r="AC25" s="7" t="e">
        <f>Tabelle1563[[#This Row],[Standardabweichung 1]]/Tabelle1563[[#This Row],[Mean Visc. 1 '[mPas']]]</f>
        <v>#NAME?</v>
      </c>
      <c r="AD25" s="7" t="e">
        <f>Tabelle156[[#This Row],[Standardabweichung 2]]/Tabelle156[[#This Row],[Mean Visc. 2 '[mPas']2]]</f>
        <v>#DIV/0!</v>
      </c>
      <c r="AE25" s="7" t="e">
        <f>Tabelle156[[#This Row],[Standardabweichung 3]]/Tabelle156[[#This Row],[Mean Visc. 3 '[mPas']3]]</f>
        <v>#DIV/0!</v>
      </c>
      <c r="AF25" s="7"/>
      <c r="AG25" s="7" t="e">
        <f>1-Tabelle1563[[#This Row],[Mean Visc. 1 '[mPas']]]/#REF!</f>
        <v>#REF!</v>
      </c>
      <c r="AH25" s="7"/>
      <c r="AI25" s="7"/>
    </row>
    <row r="26" spans="1:35" s="14" customFormat="1" ht="15" thickBot="1" x14ac:dyDescent="0.35">
      <c r="A26">
        <v>25</v>
      </c>
      <c r="B26" s="15"/>
      <c r="C26" s="16"/>
      <c r="D26" s="7">
        <v>1</v>
      </c>
      <c r="E26" t="s">
        <v>165</v>
      </c>
      <c r="F26"/>
      <c r="G26" s="7" t="s">
        <v>161</v>
      </c>
      <c r="H26" s="21" t="s">
        <v>164</v>
      </c>
      <c r="I26" s="9" t="s">
        <v>12</v>
      </c>
      <c r="J26" s="17">
        <v>21.5</v>
      </c>
      <c r="K26" s="17">
        <v>14</v>
      </c>
      <c r="L26" s="17">
        <v>32.32</v>
      </c>
      <c r="M26" s="17">
        <v>404</v>
      </c>
      <c r="N26" s="17">
        <f>Tabelle1563[[#This Row],[Anzahl Frames]]/Tabelle1563[[#This Row],[Aufnahmezeit '[s']]]</f>
        <v>12.5</v>
      </c>
      <c r="O26" s="17">
        <f>1/Tabelle1563[[#This Row],[Mean fps ]]</f>
        <v>0.08</v>
      </c>
      <c r="P26" s="17">
        <v>40</v>
      </c>
      <c r="Q26" s="20"/>
      <c r="R26" s="21"/>
      <c r="S26" s="17">
        <v>1.4370000000000001</v>
      </c>
      <c r="T26" s="17">
        <v>1.2729999999999999</v>
      </c>
      <c r="U26" s="17">
        <v>1.956</v>
      </c>
      <c r="V26" s="17"/>
      <c r="W26" s="17"/>
      <c r="X26" s="17"/>
      <c r="Y26" s="17"/>
      <c r="Z26" s="17" t="e" cm="1">
        <f t="array" ref="Z26">STABW</f>
        <v>#NAME?</v>
      </c>
      <c r="AA26" s="17"/>
      <c r="AB26" s="17"/>
      <c r="AC26" s="17" t="e">
        <f>Tabelle1563[[#This Row],[Standardabweichung 1]]/Tabelle1563[[#This Row],[Mean Visc. 1 '[mPas']]]</f>
        <v>#NAME?</v>
      </c>
      <c r="AD26" s="17" t="e">
        <f>Tabelle156[[#This Row],[Standardabweichung 2]]/Tabelle156[[#This Row],[Mean Visc. 2 '[mPas']2]]</f>
        <v>#DIV/0!</v>
      </c>
      <c r="AE26" s="17" t="e">
        <f>Tabelle156[[#This Row],[Standardabweichung 3]]/Tabelle156[[#This Row],[Mean Visc. 3 '[mPas']3]]</f>
        <v>#DIV/0!</v>
      </c>
      <c r="AF26" s="17"/>
      <c r="AG26" s="17" t="e">
        <f>1-Tabelle1563[[#This Row],[Mean Visc. 1 '[mPas']]]/#REF!</f>
        <v>#REF!</v>
      </c>
      <c r="AH26" s="17"/>
      <c r="AI26" s="17"/>
    </row>
    <row r="27" spans="1:35" ht="15" thickTop="1" x14ac:dyDescent="0.3">
      <c r="A27">
        <v>26</v>
      </c>
      <c r="B27" s="4"/>
      <c r="C27" s="5"/>
      <c r="D27" s="7">
        <v>1</v>
      </c>
      <c r="E27" t="s">
        <v>165</v>
      </c>
      <c r="G27" s="7" t="s">
        <v>161</v>
      </c>
      <c r="H27" s="11" t="s">
        <v>164</v>
      </c>
      <c r="I27" s="9" t="s">
        <v>12</v>
      </c>
      <c r="J27" s="7">
        <v>21.7</v>
      </c>
      <c r="K27" s="7">
        <v>14</v>
      </c>
      <c r="L27" s="7">
        <v>32</v>
      </c>
      <c r="M27" s="7">
        <v>400</v>
      </c>
      <c r="N27" s="7">
        <f>Tabelle1563[[#This Row],[Anzahl Frames]]/Tabelle1563[[#This Row],[Aufnahmezeit '[s']]]</f>
        <v>12.5</v>
      </c>
      <c r="O27" s="7">
        <f>1/Tabelle1563[[#This Row],[Mean fps ]]</f>
        <v>0.08</v>
      </c>
      <c r="P27" s="7">
        <v>40</v>
      </c>
      <c r="S27" s="7">
        <v>1.284</v>
      </c>
      <c r="T27" s="7">
        <v>1.1459999999999999</v>
      </c>
      <c r="U27" s="7">
        <v>1.867</v>
      </c>
      <c r="V27" s="7"/>
      <c r="W27" s="7"/>
      <c r="X27" s="7"/>
      <c r="Y27" s="7"/>
      <c r="Z27" s="7" t="e" cm="1">
        <f t="array" ref="Z27">STABW</f>
        <v>#NAME?</v>
      </c>
      <c r="AA27" s="7"/>
      <c r="AB27" s="7"/>
      <c r="AC27" s="7" t="e">
        <f>Tabelle1563[[#This Row],[Standardabweichung 1]]/Tabelle1563[[#This Row],[Mean Visc. 1 '[mPas']]]</f>
        <v>#NAME?</v>
      </c>
      <c r="AD27" s="7" t="e">
        <f>Tabelle156[[#This Row],[Standardabweichung 2]]/Tabelle156[[#This Row],[Mean Visc. 2 '[mPas']2]]</f>
        <v>#DIV/0!</v>
      </c>
      <c r="AE27" s="7" t="e">
        <f>Tabelle156[[#This Row],[Standardabweichung 3]]/Tabelle156[[#This Row],[Mean Visc. 3 '[mPas']3]]</f>
        <v>#DIV/0!</v>
      </c>
      <c r="AF27" s="7"/>
      <c r="AG27" s="7" t="e">
        <f>1-Tabelle1563[[#This Row],[Mean Visc. 1 '[mPas']]]/#REF!</f>
        <v>#REF!</v>
      </c>
      <c r="AH27" s="7"/>
      <c r="AI27" s="7"/>
    </row>
    <row r="28" spans="1:35" x14ac:dyDescent="0.3">
      <c r="A28">
        <v>27</v>
      </c>
      <c r="B28" s="4"/>
      <c r="C28" s="5"/>
      <c r="D28" s="7">
        <v>1</v>
      </c>
      <c r="E28" t="s">
        <v>165</v>
      </c>
      <c r="G28" s="7" t="s">
        <v>161</v>
      </c>
      <c r="H28" s="11" t="s">
        <v>164</v>
      </c>
      <c r="I28" s="9" t="s">
        <v>12</v>
      </c>
      <c r="J28" s="7">
        <v>21.8</v>
      </c>
      <c r="K28" s="7">
        <v>14</v>
      </c>
      <c r="L28" s="7">
        <v>30.4</v>
      </c>
      <c r="M28" s="7">
        <v>380</v>
      </c>
      <c r="N28" s="7">
        <f>Tabelle1563[[#This Row],[Anzahl Frames]]/Tabelle1563[[#This Row],[Aufnahmezeit '[s']]]</f>
        <v>12.5</v>
      </c>
      <c r="O28" s="7">
        <f>1/Tabelle1563[[#This Row],[Mean fps ]]</f>
        <v>0.08</v>
      </c>
      <c r="P28" s="7">
        <v>40</v>
      </c>
      <c r="S28" s="7">
        <v>1.5229999999999999</v>
      </c>
      <c r="T28" s="7">
        <v>1.375</v>
      </c>
      <c r="U28" s="7">
        <v>2.0030000000000001</v>
      </c>
      <c r="V28" s="7"/>
      <c r="W28" s="7"/>
      <c r="X28" s="7"/>
      <c r="Y28" s="7"/>
      <c r="Z28" s="7" t="e" cm="1">
        <f t="array" ref="Z28">STABW</f>
        <v>#NAME?</v>
      </c>
      <c r="AA28" s="7"/>
      <c r="AB28" s="7"/>
      <c r="AC28" s="7" t="e">
        <f>Tabelle1563[[#This Row],[Standardabweichung 1]]/Tabelle1563[[#This Row],[Mean Visc. 1 '[mPas']]]</f>
        <v>#NAME?</v>
      </c>
      <c r="AD28" s="7" t="e">
        <f>Tabelle156[[#This Row],[Standardabweichung 2]]/Tabelle156[[#This Row],[Mean Visc. 2 '[mPas']2]]</f>
        <v>#DIV/0!</v>
      </c>
      <c r="AE28" s="7" t="e">
        <f>Tabelle156[[#This Row],[Standardabweichung 3]]/Tabelle156[[#This Row],[Mean Visc. 3 '[mPas']3]]</f>
        <v>#DIV/0!</v>
      </c>
      <c r="AF28" s="7"/>
      <c r="AG28" s="7" t="e">
        <f>1-Tabelle1563[[#This Row],[Mean Visc. 1 '[mPas']]]/#REF!</f>
        <v>#REF!</v>
      </c>
      <c r="AH28" s="7"/>
      <c r="AI28" s="7"/>
    </row>
    <row r="29" spans="1:35" x14ac:dyDescent="0.3">
      <c r="A29">
        <v>28</v>
      </c>
      <c r="B29" s="4"/>
      <c r="C29" s="5"/>
      <c r="D29" s="7">
        <v>1</v>
      </c>
      <c r="E29" t="s">
        <v>165</v>
      </c>
      <c r="G29" s="7" t="s">
        <v>161</v>
      </c>
      <c r="H29" s="11" t="s">
        <v>164</v>
      </c>
      <c r="I29" s="9" t="s">
        <v>12</v>
      </c>
      <c r="J29" s="7">
        <v>21.9</v>
      </c>
      <c r="K29" s="7">
        <v>14</v>
      </c>
      <c r="L29" s="7">
        <v>30.16</v>
      </c>
      <c r="M29" s="7">
        <v>377</v>
      </c>
      <c r="N29" s="7">
        <f>Tabelle1563[[#This Row],[Anzahl Frames]]/Tabelle1563[[#This Row],[Aufnahmezeit '[s']]]</f>
        <v>12.5</v>
      </c>
      <c r="O29" s="7">
        <f>1/Tabelle1563[[#This Row],[Mean fps ]]</f>
        <v>0.08</v>
      </c>
      <c r="P29" s="7">
        <v>40</v>
      </c>
      <c r="S29" s="7">
        <v>1.49</v>
      </c>
      <c r="T29" s="7">
        <v>1.228</v>
      </c>
      <c r="U29" s="7">
        <v>1.829</v>
      </c>
      <c r="V29" s="7"/>
      <c r="W29" s="7"/>
      <c r="X29" s="7"/>
      <c r="Y29" s="7"/>
      <c r="Z29" s="7" t="e" cm="1">
        <f t="array" ref="Z29">STABW</f>
        <v>#NAME?</v>
      </c>
      <c r="AA29" s="7"/>
      <c r="AB29" s="7"/>
      <c r="AC29" s="7" t="e">
        <f>Tabelle1563[[#This Row],[Standardabweichung 1]]/Tabelle1563[[#This Row],[Mean Visc. 1 '[mPas']]]</f>
        <v>#NAME?</v>
      </c>
      <c r="AD29" s="7" t="e">
        <f>Tabelle156[[#This Row],[Standardabweichung 2]]/Tabelle156[[#This Row],[Mean Visc. 2 '[mPas']2]]</f>
        <v>#DIV/0!</v>
      </c>
      <c r="AE29" s="7" t="e">
        <f>Tabelle156[[#This Row],[Standardabweichung 3]]/Tabelle156[[#This Row],[Mean Visc. 3 '[mPas']3]]</f>
        <v>#DIV/0!</v>
      </c>
      <c r="AF29" s="7"/>
      <c r="AG29" s="7" t="e">
        <f>1-Tabelle1563[[#This Row],[Mean Visc. 1 '[mPas']]]/#REF!</f>
        <v>#REF!</v>
      </c>
      <c r="AH29" s="7"/>
      <c r="AI29" s="7"/>
    </row>
    <row r="30" spans="1:35" x14ac:dyDescent="0.3">
      <c r="A30">
        <v>29</v>
      </c>
      <c r="B30" s="4"/>
      <c r="C30" s="5"/>
      <c r="D30" s="7">
        <v>1</v>
      </c>
      <c r="E30" t="s">
        <v>165</v>
      </c>
      <c r="G30" s="7" t="s">
        <v>161</v>
      </c>
      <c r="H30" s="11" t="s">
        <v>164</v>
      </c>
      <c r="I30" s="9" t="s">
        <v>12</v>
      </c>
      <c r="J30" s="7">
        <v>22</v>
      </c>
      <c r="K30" s="7">
        <v>14</v>
      </c>
      <c r="L30" s="7">
        <v>29.52</v>
      </c>
      <c r="M30" s="7">
        <v>369</v>
      </c>
      <c r="N30" s="7">
        <f>Tabelle1563[[#This Row],[Anzahl Frames]]/Tabelle1563[[#This Row],[Aufnahmezeit '[s']]]</f>
        <v>12.5</v>
      </c>
      <c r="O30" s="7">
        <f>1/Tabelle1563[[#This Row],[Mean fps ]]</f>
        <v>0.08</v>
      </c>
      <c r="P30" s="7">
        <v>40</v>
      </c>
      <c r="S30" s="7">
        <v>1.625</v>
      </c>
      <c r="T30" s="7">
        <v>1.363</v>
      </c>
      <c r="U30" s="7">
        <v>2.1</v>
      </c>
      <c r="V30" s="7"/>
      <c r="W30" s="7"/>
      <c r="X30" s="7"/>
      <c r="Y30" s="7"/>
      <c r="Z30" s="7" t="e" cm="1">
        <f t="array" ref="Z30">STABW</f>
        <v>#NAME?</v>
      </c>
      <c r="AA30" s="7"/>
      <c r="AB30" s="7"/>
      <c r="AC30" s="7" t="e">
        <f>Tabelle1563[[#This Row],[Standardabweichung 1]]/Tabelle1563[[#This Row],[Mean Visc. 1 '[mPas']]]</f>
        <v>#NAME?</v>
      </c>
      <c r="AD30" s="7" t="e">
        <f>Tabelle156[[#This Row],[Standardabweichung 2]]/Tabelle156[[#This Row],[Mean Visc. 2 '[mPas']2]]</f>
        <v>#DIV/0!</v>
      </c>
      <c r="AE30" s="7" t="e">
        <f>Tabelle156[[#This Row],[Standardabweichung 3]]/Tabelle156[[#This Row],[Mean Visc. 3 '[mPas']3]]</f>
        <v>#DIV/0!</v>
      </c>
      <c r="AF30" s="7"/>
      <c r="AG30" s="7" t="e">
        <f>1-Tabelle1563[[#This Row],[Mean Visc. 1 '[mPas']]]/#REF!</f>
        <v>#REF!</v>
      </c>
      <c r="AH30" s="7"/>
      <c r="AI30" s="7"/>
    </row>
    <row r="31" spans="1:35" s="14" customFormat="1" ht="15" thickBot="1" x14ac:dyDescent="0.35">
      <c r="A31">
        <v>30</v>
      </c>
      <c r="B31" s="15"/>
      <c r="C31" s="16"/>
      <c r="D31" s="7">
        <v>1</v>
      </c>
      <c r="E31" t="s">
        <v>165</v>
      </c>
      <c r="F31"/>
      <c r="G31" s="7" t="s">
        <v>161</v>
      </c>
      <c r="H31" s="21" t="s">
        <v>164</v>
      </c>
      <c r="I31" s="9" t="s">
        <v>12</v>
      </c>
      <c r="J31" s="17">
        <v>22.1</v>
      </c>
      <c r="K31" s="17">
        <v>14</v>
      </c>
      <c r="L31" s="17">
        <v>30.88</v>
      </c>
      <c r="M31" s="17">
        <v>386</v>
      </c>
      <c r="N31" s="17">
        <f>Tabelle1563[[#This Row],[Anzahl Frames]]/Tabelle1563[[#This Row],[Aufnahmezeit '[s']]]</f>
        <v>12.5</v>
      </c>
      <c r="O31" s="17">
        <f>1/Tabelle1563[[#This Row],[Mean fps ]]</f>
        <v>0.08</v>
      </c>
      <c r="P31" s="17">
        <v>40</v>
      </c>
      <c r="Q31" s="20"/>
      <c r="R31" s="21"/>
      <c r="S31" s="17">
        <v>1.4510000000000001</v>
      </c>
      <c r="T31" s="17">
        <v>1.2929999999999999</v>
      </c>
      <c r="U31" s="17">
        <v>1.913</v>
      </c>
      <c r="V31" s="17"/>
      <c r="W31" s="7">
        <f>SUM(S22:S31)/10</f>
        <v>1.4916</v>
      </c>
      <c r="X31" s="7">
        <f t="shared" ref="X31" si="8">SUM(T22:T31)/10</f>
        <v>1.2742</v>
      </c>
      <c r="Y31" s="7">
        <f t="shared" ref="Y31" si="9">SUM(U22:U31)/10</f>
        <v>1.9917000000000002</v>
      </c>
      <c r="Z31" s="17">
        <f>_xlfn.STDEV.S(S22:S31)</f>
        <v>0.11757286157008248</v>
      </c>
      <c r="AA31" s="17">
        <f t="shared" ref="AA31" si="10">_xlfn.STDEV.S(T22:T31)</f>
        <v>7.2184639794226485E-2</v>
      </c>
      <c r="AB31" s="17">
        <f t="shared" ref="AB31" si="11">_xlfn.STDEV.S(U22:U31)</f>
        <v>0.14535171902052696</v>
      </c>
      <c r="AC31" s="17">
        <f>Tabelle1563[[#This Row],[Standardabweichung 1]]/Tabelle1563[[#This Row],[Mean Visc. 1 '[mPas']]]</f>
        <v>7.8823318295845046E-2</v>
      </c>
      <c r="AD31" s="17">
        <f>Tabelle1563[[#This Row],[Standardabweichung 2]]/Tabelle1563[[#This Row],[Mean Visc. 2 '[mPas']2]]</f>
        <v>5.6650949453952666E-2</v>
      </c>
      <c r="AE31" s="17">
        <f>Tabelle1563[[#This Row],[Standardabweichung 3]]/Tabelle1563[[#This Row],[Mean Visc. 3 '[mPas']3]]</f>
        <v>7.2978721203256991E-2</v>
      </c>
      <c r="AF31" s="17"/>
      <c r="AG31" s="17" t="e">
        <f>1-Tabelle1563[[#This Row],[Mean Visc. 1 '[mPas']]]/#REF!</f>
        <v>#REF!</v>
      </c>
      <c r="AH31" s="17"/>
      <c r="AI31" s="17"/>
    </row>
    <row r="32" spans="1:35" ht="15" thickTop="1" x14ac:dyDescent="0.3">
      <c r="A32">
        <v>31</v>
      </c>
      <c r="B32" s="4"/>
      <c r="C32" s="5"/>
      <c r="D32" s="7">
        <v>2</v>
      </c>
      <c r="E32" t="s">
        <v>167</v>
      </c>
      <c r="G32" s="7" t="s">
        <v>161</v>
      </c>
      <c r="H32" s="11" t="s">
        <v>160</v>
      </c>
      <c r="I32" s="9" t="s">
        <v>12</v>
      </c>
      <c r="J32" s="7">
        <v>23.8</v>
      </c>
      <c r="K32" s="7">
        <v>10</v>
      </c>
      <c r="L32" s="7">
        <v>30.22</v>
      </c>
      <c r="M32" s="7">
        <v>378</v>
      </c>
      <c r="N32" s="7">
        <f>Tabelle1563[[#This Row],[Anzahl Frames]]/Tabelle1563[[#This Row],[Aufnahmezeit '[s']]]</f>
        <v>12.508272667107876</v>
      </c>
      <c r="O32" s="7">
        <f>1/Tabelle1563[[#This Row],[Mean fps ]]</f>
        <v>7.9947089947089947E-2</v>
      </c>
      <c r="P32" s="7">
        <v>40</v>
      </c>
      <c r="S32" s="7">
        <v>1.7430000000000001</v>
      </c>
      <c r="T32" s="7">
        <v>1.44</v>
      </c>
      <c r="U32" s="7">
        <v>2.1669999999999998</v>
      </c>
      <c r="V32" s="7"/>
      <c r="W32" s="7"/>
      <c r="X32" s="7"/>
      <c r="Y32" s="7"/>
      <c r="Z32" s="7" t="e" cm="1">
        <f t="array" ref="Z32">STABW</f>
        <v>#NAME?</v>
      </c>
      <c r="AA32" s="7"/>
      <c r="AB32" s="7"/>
      <c r="AC32" s="7" t="e">
        <f>Tabelle1563[[#This Row],[Standardabweichung 1]]/Tabelle1563[[#This Row],[Mean Visc. 1 '[mPas']]]</f>
        <v>#NAME?</v>
      </c>
      <c r="AD32" s="7" t="e">
        <f>Tabelle156[[#This Row],[Standardabweichung 2]]/Tabelle156[[#This Row],[Mean Visc. 2 '[mPas']2]]</f>
        <v>#DIV/0!</v>
      </c>
      <c r="AE32" s="7" t="e">
        <f>Tabelle156[[#This Row],[Standardabweichung 3]]/Tabelle156[[#This Row],[Mean Visc. 3 '[mPas']3]]</f>
        <v>#DIV/0!</v>
      </c>
      <c r="AF32" s="7"/>
      <c r="AG32" s="7" t="e">
        <f>1-Tabelle1563[[#This Row],[Mean Visc. 1 '[mPas']]]/#REF!</f>
        <v>#REF!</v>
      </c>
      <c r="AH32" s="7"/>
      <c r="AI32" s="7"/>
    </row>
    <row r="33" spans="1:35" x14ac:dyDescent="0.3">
      <c r="A33">
        <v>32</v>
      </c>
      <c r="B33" s="4"/>
      <c r="C33" s="5"/>
      <c r="D33" s="7">
        <v>2</v>
      </c>
      <c r="E33" t="s">
        <v>167</v>
      </c>
      <c r="G33" s="7" t="s">
        <v>161</v>
      </c>
      <c r="H33" s="11" t="s">
        <v>160</v>
      </c>
      <c r="I33" s="9" t="s">
        <v>12</v>
      </c>
      <c r="J33" s="7">
        <v>23.9</v>
      </c>
      <c r="K33" s="7">
        <v>10</v>
      </c>
      <c r="L33" s="7">
        <v>29.27</v>
      </c>
      <c r="M33" s="7">
        <v>366</v>
      </c>
      <c r="N33" s="7">
        <f>Tabelle1563[[#This Row],[Anzahl Frames]]/Tabelle1563[[#This Row],[Aufnahmezeit '[s']]]</f>
        <v>12.50427058421592</v>
      </c>
      <c r="O33" s="7">
        <f>1/Tabelle1563[[#This Row],[Mean fps ]]</f>
        <v>7.9972677595628414E-2</v>
      </c>
      <c r="P33" s="7">
        <v>40</v>
      </c>
      <c r="S33" s="7">
        <v>1.93</v>
      </c>
      <c r="T33" s="7">
        <v>1.552</v>
      </c>
      <c r="U33" s="7">
        <v>2.1970000000000001</v>
      </c>
      <c r="V33" s="7"/>
      <c r="W33" s="7"/>
      <c r="X33" s="7"/>
      <c r="Y33" s="7"/>
      <c r="Z33" s="7" t="e" cm="1">
        <f t="array" ref="Z33">STABW</f>
        <v>#NAME?</v>
      </c>
      <c r="AA33" s="7"/>
      <c r="AB33" s="7"/>
      <c r="AC33" s="7" t="e">
        <f>Tabelle1563[[#This Row],[Standardabweichung 1]]/Tabelle1563[[#This Row],[Mean Visc. 1 '[mPas']]]</f>
        <v>#NAME?</v>
      </c>
      <c r="AD33" s="7" t="e">
        <f>Tabelle156[[#This Row],[Standardabweichung 2]]/Tabelle156[[#This Row],[Mean Visc. 2 '[mPas']2]]</f>
        <v>#DIV/0!</v>
      </c>
      <c r="AE33" s="7" t="e">
        <f>Tabelle156[[#This Row],[Standardabweichung 3]]/Tabelle156[[#This Row],[Mean Visc. 3 '[mPas']3]]</f>
        <v>#DIV/0!</v>
      </c>
      <c r="AF33" s="7"/>
      <c r="AG33" s="7" t="e">
        <f>1-Tabelle1563[[#This Row],[Mean Visc. 1 '[mPas']]]/#REF!</f>
        <v>#REF!</v>
      </c>
      <c r="AH33" s="7"/>
      <c r="AI33" s="7"/>
    </row>
    <row r="34" spans="1:35" x14ac:dyDescent="0.3">
      <c r="A34">
        <v>33</v>
      </c>
      <c r="B34" s="4"/>
      <c r="C34" s="5"/>
      <c r="D34" s="7">
        <v>2</v>
      </c>
      <c r="E34" t="s">
        <v>167</v>
      </c>
      <c r="G34" s="7" t="s">
        <v>161</v>
      </c>
      <c r="H34" s="11" t="s">
        <v>160</v>
      </c>
      <c r="I34" s="9" t="s">
        <v>12</v>
      </c>
      <c r="J34" s="7">
        <v>23.9</v>
      </c>
      <c r="K34" s="7">
        <v>10</v>
      </c>
      <c r="L34" s="7">
        <v>30.8</v>
      </c>
      <c r="M34" s="7">
        <v>385</v>
      </c>
      <c r="N34" s="7">
        <f>Tabelle1563[[#This Row],[Anzahl Frames]]/Tabelle1563[[#This Row],[Aufnahmezeit '[s']]]</f>
        <v>12.5</v>
      </c>
      <c r="O34" s="7">
        <f>1/Tabelle1563[[#This Row],[Mean fps ]]</f>
        <v>0.08</v>
      </c>
      <c r="P34" s="7">
        <v>40</v>
      </c>
      <c r="S34" s="7">
        <v>1.98</v>
      </c>
      <c r="T34" s="7">
        <v>1.76</v>
      </c>
      <c r="U34" s="7">
        <v>2.4</v>
      </c>
      <c r="V34" s="7"/>
      <c r="W34" s="7"/>
      <c r="X34" s="7"/>
      <c r="Y34" s="7"/>
      <c r="Z34" s="7" t="e" cm="1">
        <f t="array" ref="Z34">STABW</f>
        <v>#NAME?</v>
      </c>
      <c r="AA34" s="7"/>
      <c r="AB34" s="7"/>
      <c r="AC34" s="7" t="e">
        <f>Tabelle1563[[#This Row],[Standardabweichung 1]]/Tabelle1563[[#This Row],[Mean Visc. 1 '[mPas']]]</f>
        <v>#NAME?</v>
      </c>
      <c r="AD34" s="7" t="e">
        <f>Tabelle156[[#This Row],[Standardabweichung 2]]/Tabelle156[[#This Row],[Mean Visc. 2 '[mPas']2]]</f>
        <v>#DIV/0!</v>
      </c>
      <c r="AE34" s="7" t="e">
        <f>Tabelle156[[#This Row],[Standardabweichung 3]]/Tabelle156[[#This Row],[Mean Visc. 3 '[mPas']3]]</f>
        <v>#DIV/0!</v>
      </c>
      <c r="AF34" s="7"/>
      <c r="AG34" s="7" t="e">
        <f>1-Tabelle1563[[#This Row],[Mean Visc. 1 '[mPas']]]/#REF!</f>
        <v>#REF!</v>
      </c>
      <c r="AH34" s="7"/>
      <c r="AI34" s="7"/>
    </row>
    <row r="35" spans="1:35" x14ac:dyDescent="0.3">
      <c r="A35">
        <v>34</v>
      </c>
      <c r="B35" s="4"/>
      <c r="C35" s="5"/>
      <c r="D35" s="7">
        <v>2</v>
      </c>
      <c r="E35" t="s">
        <v>167</v>
      </c>
      <c r="G35" s="7" t="s">
        <v>161</v>
      </c>
      <c r="H35" s="11" t="s">
        <v>160</v>
      </c>
      <c r="I35" s="9" t="s">
        <v>12</v>
      </c>
      <c r="J35" s="7">
        <v>24</v>
      </c>
      <c r="K35" s="7">
        <v>10</v>
      </c>
      <c r="L35" s="7">
        <v>29.84</v>
      </c>
      <c r="M35" s="7">
        <v>374</v>
      </c>
      <c r="N35" s="7">
        <f>Tabelle1563[[#This Row],[Anzahl Frames]]/Tabelle1563[[#This Row],[Aufnahmezeit '[s']]]</f>
        <v>12.533512064343164</v>
      </c>
      <c r="O35" s="7">
        <f>1/Tabelle1563[[#This Row],[Mean fps ]]</f>
        <v>7.9786096256684494E-2</v>
      </c>
      <c r="P35" s="7">
        <v>40</v>
      </c>
      <c r="S35" s="7">
        <v>1.9319999999999999</v>
      </c>
      <c r="T35" s="7">
        <v>1.8240000000000001</v>
      </c>
      <c r="U35" s="7">
        <v>2.1080000000000001</v>
      </c>
      <c r="V35" s="7"/>
      <c r="W35" s="7"/>
      <c r="X35" s="7"/>
      <c r="Y35" s="7"/>
      <c r="Z35" s="7" t="e" cm="1">
        <f t="array" ref="Z35">STABW</f>
        <v>#NAME?</v>
      </c>
      <c r="AA35" s="7"/>
      <c r="AB35" s="7"/>
      <c r="AC35" s="7" t="e">
        <f>Tabelle1563[[#This Row],[Standardabweichung 1]]/Tabelle1563[[#This Row],[Mean Visc. 1 '[mPas']]]</f>
        <v>#NAME?</v>
      </c>
      <c r="AD35" s="7" t="e">
        <f>Tabelle156[[#This Row],[Standardabweichung 2]]/Tabelle156[[#This Row],[Mean Visc. 2 '[mPas']2]]</f>
        <v>#DIV/0!</v>
      </c>
      <c r="AE35" s="7" t="e">
        <f>Tabelle156[[#This Row],[Standardabweichung 3]]/Tabelle156[[#This Row],[Mean Visc. 3 '[mPas']3]]</f>
        <v>#DIV/0!</v>
      </c>
      <c r="AF35" s="7"/>
      <c r="AG35" s="7" t="e">
        <f>1-Tabelle1563[[#This Row],[Mean Visc. 1 '[mPas']]]/#REF!</f>
        <v>#REF!</v>
      </c>
      <c r="AH35" s="7"/>
      <c r="AI35" s="7"/>
    </row>
    <row r="36" spans="1:35" s="14" customFormat="1" ht="15" thickBot="1" x14ac:dyDescent="0.35">
      <c r="A36">
        <v>35</v>
      </c>
      <c r="B36" s="15"/>
      <c r="C36" s="16"/>
      <c r="D36" s="7">
        <v>2</v>
      </c>
      <c r="E36" t="s">
        <v>167</v>
      </c>
      <c r="F36"/>
      <c r="G36" s="7" t="s">
        <v>161</v>
      </c>
      <c r="H36" s="21" t="s">
        <v>160</v>
      </c>
      <c r="I36" s="9" t="s">
        <v>12</v>
      </c>
      <c r="J36" s="17">
        <v>24</v>
      </c>
      <c r="K36" s="17">
        <v>10</v>
      </c>
      <c r="L36" s="17">
        <v>30.72</v>
      </c>
      <c r="M36" s="17">
        <v>384</v>
      </c>
      <c r="N36" s="17">
        <f>Tabelle1563[[#This Row],[Anzahl Frames]]/Tabelle1563[[#This Row],[Aufnahmezeit '[s']]]</f>
        <v>12.5</v>
      </c>
      <c r="O36" s="17">
        <f>1/Tabelle1563[[#This Row],[Mean fps ]]</f>
        <v>0.08</v>
      </c>
      <c r="P36" s="7">
        <v>40</v>
      </c>
      <c r="Q36" s="20"/>
      <c r="R36" s="21"/>
      <c r="S36" s="17">
        <v>1.7450000000000001</v>
      </c>
      <c r="T36" s="17">
        <v>1.6850000000000001</v>
      </c>
      <c r="U36" s="17">
        <v>1.88</v>
      </c>
      <c r="V36" s="17"/>
      <c r="W36" s="17"/>
      <c r="X36" s="17"/>
      <c r="Y36" s="17"/>
      <c r="Z36" s="17" t="e" cm="1">
        <f t="array" ref="Z36">STABW</f>
        <v>#NAME?</v>
      </c>
      <c r="AA36" s="17"/>
      <c r="AB36" s="17"/>
      <c r="AC36" s="17" t="e">
        <f>Tabelle1563[[#This Row],[Standardabweichung 1]]/Tabelle1563[[#This Row],[Mean Visc. 1 '[mPas']]]</f>
        <v>#NAME?</v>
      </c>
      <c r="AD36" s="17" t="e">
        <f>Tabelle156[[#This Row],[Standardabweichung 2]]/Tabelle156[[#This Row],[Mean Visc. 2 '[mPas']2]]</f>
        <v>#DIV/0!</v>
      </c>
      <c r="AE36" s="17" t="e">
        <f>Tabelle156[[#This Row],[Standardabweichung 3]]/Tabelle156[[#This Row],[Mean Visc. 3 '[mPas']3]]</f>
        <v>#DIV/0!</v>
      </c>
      <c r="AF36" s="17"/>
      <c r="AG36" s="17" t="e">
        <f>1-Tabelle1563[[#This Row],[Mean Visc. 1 '[mPas']]]/#REF!</f>
        <v>#REF!</v>
      </c>
      <c r="AH36" s="17"/>
      <c r="AI36" s="17"/>
    </row>
    <row r="37" spans="1:35" ht="15" thickTop="1" x14ac:dyDescent="0.3">
      <c r="A37">
        <v>36</v>
      </c>
      <c r="B37" s="4"/>
      <c r="C37" s="5"/>
      <c r="D37" s="7">
        <v>2</v>
      </c>
      <c r="E37" t="s">
        <v>167</v>
      </c>
      <c r="G37" s="7" t="s">
        <v>161</v>
      </c>
      <c r="H37" s="11" t="s">
        <v>160</v>
      </c>
      <c r="I37" s="9" t="s">
        <v>12</v>
      </c>
      <c r="J37" s="7">
        <v>24.1</v>
      </c>
      <c r="K37" s="7">
        <v>10</v>
      </c>
      <c r="N37" s="7" t="e">
        <f>Tabelle1563[[#This Row],[Anzahl Frames]]/Tabelle1563[[#This Row],[Aufnahmezeit '[s']]]</f>
        <v>#DIV/0!</v>
      </c>
      <c r="O37" s="7" t="e">
        <f>1/Tabelle1563[[#This Row],[Mean fps ]]</f>
        <v>#DIV/0!</v>
      </c>
      <c r="P37" s="7">
        <v>40</v>
      </c>
      <c r="S37" s="7">
        <v>1.861</v>
      </c>
      <c r="T37" s="7">
        <v>1.6240000000000001</v>
      </c>
      <c r="U37" s="7">
        <v>2.1160000000000001</v>
      </c>
      <c r="V37" s="7"/>
      <c r="W37" s="7"/>
      <c r="X37" s="7"/>
      <c r="Y37" s="7"/>
      <c r="Z37" s="7" t="e" cm="1">
        <f t="array" ref="Z37">STABW</f>
        <v>#NAME?</v>
      </c>
      <c r="AA37" s="7"/>
      <c r="AB37" s="7"/>
      <c r="AC37" s="7" t="e">
        <f>Tabelle1563[[#This Row],[Standardabweichung 1]]/Tabelle1563[[#This Row],[Mean Visc. 1 '[mPas']]]</f>
        <v>#NAME?</v>
      </c>
      <c r="AD37" s="7" t="e">
        <f>Tabelle156[[#This Row],[Standardabweichung 2]]/Tabelle156[[#This Row],[Mean Visc. 2 '[mPas']2]]</f>
        <v>#DIV/0!</v>
      </c>
      <c r="AE37" s="7" t="e">
        <f>Tabelle156[[#This Row],[Standardabweichung 3]]/Tabelle156[[#This Row],[Mean Visc. 3 '[mPas']3]]</f>
        <v>#DIV/0!</v>
      </c>
      <c r="AF37" s="7"/>
      <c r="AG37" s="7" t="e">
        <f>1-Tabelle1563[[#This Row],[Mean Visc. 1 '[mPas']]]/#REF!</f>
        <v>#REF!</v>
      </c>
      <c r="AH37" s="7"/>
      <c r="AI37" s="7"/>
    </row>
    <row r="38" spans="1:35" x14ac:dyDescent="0.3">
      <c r="A38">
        <v>37</v>
      </c>
      <c r="B38" s="4"/>
      <c r="C38" s="5"/>
      <c r="D38" s="7">
        <v>2</v>
      </c>
      <c r="E38" t="s">
        <v>167</v>
      </c>
      <c r="G38" s="7" t="s">
        <v>161</v>
      </c>
      <c r="H38" s="11" t="s">
        <v>160</v>
      </c>
      <c r="I38" s="9" t="s">
        <v>12</v>
      </c>
      <c r="J38" s="7">
        <v>24.2</v>
      </c>
      <c r="K38" s="7">
        <v>10</v>
      </c>
      <c r="L38" s="7">
        <v>30.56</v>
      </c>
      <c r="M38" s="7">
        <v>383</v>
      </c>
      <c r="N38" s="7">
        <f>Tabelle1563[[#This Row],[Anzahl Frames]]/Tabelle1563[[#This Row],[Aufnahmezeit '[s']]]</f>
        <v>12.532722513089006</v>
      </c>
      <c r="O38" s="7">
        <f>1/Tabelle1563[[#This Row],[Mean fps ]]</f>
        <v>7.97911227154047E-2</v>
      </c>
      <c r="P38" s="7">
        <v>40</v>
      </c>
      <c r="S38" s="7">
        <v>1.833</v>
      </c>
      <c r="T38" s="7">
        <v>1.589</v>
      </c>
      <c r="U38" s="7">
        <v>2.1659999999999999</v>
      </c>
      <c r="V38" s="7"/>
      <c r="W38" s="7"/>
      <c r="X38" s="7"/>
      <c r="Y38" s="7"/>
      <c r="Z38" s="7" t="e" cm="1">
        <f t="array" ref="Z38">STABW</f>
        <v>#NAME?</v>
      </c>
      <c r="AA38" s="7"/>
      <c r="AB38" s="7"/>
      <c r="AC38" s="7" t="e">
        <f>Tabelle1563[[#This Row],[Standardabweichung 1]]/Tabelle1563[[#This Row],[Mean Visc. 1 '[mPas']]]</f>
        <v>#NAME?</v>
      </c>
      <c r="AD38" s="7" t="e">
        <f>Tabelle156[[#This Row],[Standardabweichung 2]]/Tabelle156[[#This Row],[Mean Visc. 2 '[mPas']2]]</f>
        <v>#DIV/0!</v>
      </c>
      <c r="AE38" s="7" t="e">
        <f>Tabelle156[[#This Row],[Standardabweichung 3]]/Tabelle156[[#This Row],[Mean Visc. 3 '[mPas']3]]</f>
        <v>#DIV/0!</v>
      </c>
      <c r="AF38" s="7"/>
      <c r="AG38" s="7" t="e">
        <f>1-Tabelle1563[[#This Row],[Mean Visc. 1 '[mPas']]]/#REF!</f>
        <v>#REF!</v>
      </c>
      <c r="AH38" s="7"/>
      <c r="AI38" s="7"/>
    </row>
    <row r="39" spans="1:35" x14ac:dyDescent="0.3">
      <c r="A39">
        <v>38</v>
      </c>
      <c r="B39" s="4"/>
      <c r="C39" s="5"/>
      <c r="D39" s="7">
        <v>2</v>
      </c>
      <c r="E39" t="s">
        <v>167</v>
      </c>
      <c r="G39" s="7" t="s">
        <v>161</v>
      </c>
      <c r="H39" s="11" t="s">
        <v>160</v>
      </c>
      <c r="I39" s="9" t="s">
        <v>12</v>
      </c>
      <c r="J39" s="7">
        <v>24.3</v>
      </c>
      <c r="K39" s="7">
        <v>10</v>
      </c>
      <c r="L39" s="7">
        <v>31.12</v>
      </c>
      <c r="M39" s="7">
        <v>390</v>
      </c>
      <c r="N39" s="7">
        <f>Tabelle1563[[#This Row],[Anzahl Frames]]/Tabelle1563[[#This Row],[Aufnahmezeit '[s']]]</f>
        <v>12.532133676092545</v>
      </c>
      <c r="O39" s="7">
        <f>1/Tabelle1563[[#This Row],[Mean fps ]]</f>
        <v>7.9794871794871797E-2</v>
      </c>
      <c r="P39" s="7">
        <v>40</v>
      </c>
      <c r="S39" s="7">
        <v>1.734</v>
      </c>
      <c r="T39" s="7">
        <v>1.556</v>
      </c>
      <c r="U39" s="7">
        <v>2.2160000000000002</v>
      </c>
      <c r="V39" s="7"/>
      <c r="W39" s="7"/>
      <c r="X39" s="7"/>
      <c r="Y39" s="7"/>
      <c r="Z39" s="7" t="e" cm="1">
        <f t="array" ref="Z39">STABW</f>
        <v>#NAME?</v>
      </c>
      <c r="AA39" s="7"/>
      <c r="AB39" s="7"/>
      <c r="AC39" s="7" t="e">
        <f>Tabelle1563[[#This Row],[Standardabweichung 1]]/Tabelle1563[[#This Row],[Mean Visc. 1 '[mPas']]]</f>
        <v>#NAME?</v>
      </c>
      <c r="AD39" s="7" t="e">
        <f>Tabelle156[[#This Row],[Standardabweichung 2]]/Tabelle156[[#This Row],[Mean Visc. 2 '[mPas']2]]</f>
        <v>#DIV/0!</v>
      </c>
      <c r="AE39" s="7" t="e">
        <f>Tabelle156[[#This Row],[Standardabweichung 3]]/Tabelle156[[#This Row],[Mean Visc. 3 '[mPas']3]]</f>
        <v>#DIV/0!</v>
      </c>
      <c r="AF39" s="7"/>
      <c r="AG39" s="7" t="e">
        <f>1-Tabelle1563[[#This Row],[Mean Visc. 1 '[mPas']]]/#REF!</f>
        <v>#REF!</v>
      </c>
      <c r="AH39" s="7"/>
      <c r="AI39" s="7"/>
    </row>
    <row r="40" spans="1:35" x14ac:dyDescent="0.3">
      <c r="A40">
        <v>39</v>
      </c>
      <c r="B40" s="4"/>
      <c r="C40" s="5"/>
      <c r="D40" s="7">
        <v>2</v>
      </c>
      <c r="E40" t="s">
        <v>167</v>
      </c>
      <c r="G40" s="7" t="s">
        <v>161</v>
      </c>
      <c r="H40" s="11" t="s">
        <v>160</v>
      </c>
      <c r="I40" s="9" t="s">
        <v>12</v>
      </c>
      <c r="J40" s="7">
        <v>24.3</v>
      </c>
      <c r="K40" s="7">
        <v>10</v>
      </c>
      <c r="L40" s="7">
        <v>30.48</v>
      </c>
      <c r="M40" s="7">
        <v>382</v>
      </c>
      <c r="N40" s="7">
        <f>Tabelle1563[[#This Row],[Anzahl Frames]]/Tabelle1563[[#This Row],[Aufnahmezeit '[s']]]</f>
        <v>12.532808398950131</v>
      </c>
      <c r="O40" s="7">
        <f>1/Tabelle1563[[#This Row],[Mean fps ]]</f>
        <v>7.9790575916230372E-2</v>
      </c>
      <c r="P40" s="7">
        <v>40</v>
      </c>
      <c r="S40" s="7">
        <v>1.9019999999999999</v>
      </c>
      <c r="T40" s="7">
        <v>1.6</v>
      </c>
      <c r="U40" s="7">
        <v>2.1440000000000001</v>
      </c>
      <c r="V40" s="7"/>
      <c r="W40" s="7"/>
      <c r="X40" s="7"/>
      <c r="Y40" s="7"/>
      <c r="Z40" s="7" t="e" cm="1">
        <f t="array" ref="Z40">STABW</f>
        <v>#NAME?</v>
      </c>
      <c r="AA40" s="7"/>
      <c r="AB40" s="7"/>
      <c r="AC40" s="7" t="e">
        <f>Tabelle1563[[#This Row],[Standardabweichung 1]]/Tabelle1563[[#This Row],[Mean Visc. 1 '[mPas']]]</f>
        <v>#NAME?</v>
      </c>
      <c r="AD40" s="7" t="e">
        <f>Tabelle156[[#This Row],[Standardabweichung 2]]/Tabelle156[[#This Row],[Mean Visc. 2 '[mPas']2]]</f>
        <v>#DIV/0!</v>
      </c>
      <c r="AE40" s="7" t="e">
        <f>Tabelle156[[#This Row],[Standardabweichung 3]]/Tabelle156[[#This Row],[Mean Visc. 3 '[mPas']3]]</f>
        <v>#DIV/0!</v>
      </c>
      <c r="AF40" s="7"/>
      <c r="AG40" s="7" t="e">
        <f>1-Tabelle1563[[#This Row],[Mean Visc. 1 '[mPas']]]/#REF!</f>
        <v>#REF!</v>
      </c>
      <c r="AH40" s="7"/>
      <c r="AI40" s="7"/>
    </row>
    <row r="41" spans="1:35" s="14" customFormat="1" ht="15" thickBot="1" x14ac:dyDescent="0.35">
      <c r="A41">
        <v>40</v>
      </c>
      <c r="B41" s="15"/>
      <c r="C41" s="16"/>
      <c r="D41" s="7">
        <v>2</v>
      </c>
      <c r="E41" t="s">
        <v>167</v>
      </c>
      <c r="F41"/>
      <c r="G41" s="7" t="s">
        <v>161</v>
      </c>
      <c r="H41" s="21" t="s">
        <v>160</v>
      </c>
      <c r="I41" s="9" t="s">
        <v>12</v>
      </c>
      <c r="J41" s="17">
        <v>24.4</v>
      </c>
      <c r="K41" s="17">
        <v>10</v>
      </c>
      <c r="L41" s="17">
        <v>29.92</v>
      </c>
      <c r="M41" s="17">
        <v>374</v>
      </c>
      <c r="N41" s="17">
        <f>Tabelle1563[[#This Row],[Anzahl Frames]]/Tabelle1563[[#This Row],[Aufnahmezeit '[s']]]</f>
        <v>12.5</v>
      </c>
      <c r="O41" s="17">
        <f>1/Tabelle1563[[#This Row],[Mean fps ]]</f>
        <v>0.08</v>
      </c>
      <c r="P41" s="7">
        <v>40</v>
      </c>
      <c r="Q41" s="20"/>
      <c r="R41" s="21"/>
      <c r="S41" s="17">
        <v>1.883</v>
      </c>
      <c r="T41" s="17">
        <v>1.621</v>
      </c>
      <c r="U41" s="17">
        <v>2.254</v>
      </c>
      <c r="V41" s="17"/>
      <c r="W41" s="7">
        <f>SUM(S32:S41)/10</f>
        <v>1.8543000000000003</v>
      </c>
      <c r="X41" s="7">
        <f>SUM(T32:T41)/10</f>
        <v>1.6251000000000002</v>
      </c>
      <c r="Y41" s="7">
        <f t="shared" ref="Y41" si="12">SUM(U32:U41)/10</f>
        <v>2.1648000000000001</v>
      </c>
      <c r="Z41" s="17">
        <f>_xlfn.STDEV.S(S32:S41)</f>
        <v>8.8174133269217747E-2</v>
      </c>
      <c r="AA41" s="17">
        <f t="shared" ref="AA41" si="13">_xlfn.STDEV.S(T32:T41)</f>
        <v>0.10938154424866302</v>
      </c>
      <c r="AB41" s="17">
        <f>_xlfn.STDEV.S(U32:U41)</f>
        <v>0.13084834308805321</v>
      </c>
      <c r="AC41" s="17">
        <f>Tabelle1563[[#This Row],[Standardabweichung 1]]/Tabelle1563[[#This Row],[Mean Visc. 1 '[mPas']]]</f>
        <v>4.7551169319537151E-2</v>
      </c>
      <c r="AD41" s="17">
        <f>Tabelle1563[[#This Row],[Standardabweichung 2]]/Tabelle1563[[#This Row],[Mean Visc. 2 '[mPas']2]]</f>
        <v>6.7307577532867521E-2</v>
      </c>
      <c r="AE41" s="17">
        <f>Tabelle1563[[#This Row],[Standardabweichung 3]]/Tabelle1563[[#This Row],[Mean Visc. 3 '[mPas']3]]</f>
        <v>6.0443617464917408E-2</v>
      </c>
      <c r="AF41" s="17"/>
      <c r="AG41" s="17" t="e">
        <f>1-Tabelle1563[[#This Row],[Mean Visc. 1 '[mPas']]]/#REF!</f>
        <v>#REF!</v>
      </c>
      <c r="AH41" s="17"/>
      <c r="AI41" s="17"/>
    </row>
    <row r="42" spans="1:35" ht="15" thickTop="1" x14ac:dyDescent="0.3">
      <c r="A42">
        <v>41</v>
      </c>
      <c r="B42" s="4"/>
      <c r="C42" s="5"/>
      <c r="D42" s="7">
        <v>2</v>
      </c>
      <c r="E42" t="s">
        <v>167</v>
      </c>
      <c r="G42" s="7" t="s">
        <v>161</v>
      </c>
      <c r="H42" s="11" t="s">
        <v>163</v>
      </c>
      <c r="I42" s="9" t="s">
        <v>12</v>
      </c>
      <c r="J42" s="7">
        <v>22.7</v>
      </c>
      <c r="K42" s="7">
        <v>10</v>
      </c>
      <c r="L42" s="7">
        <v>31.27</v>
      </c>
      <c r="M42" s="7">
        <v>391</v>
      </c>
      <c r="N42" s="7">
        <f>Tabelle1563[[#This Row],[Anzahl Frames]]/Tabelle1563[[#This Row],[Aufnahmezeit '[s']]]</f>
        <v>12.503997441637352</v>
      </c>
      <c r="O42" s="7">
        <f>1/Tabelle1563[[#This Row],[Mean fps ]]</f>
        <v>7.997442455242966E-2</v>
      </c>
      <c r="P42" s="7">
        <v>40</v>
      </c>
      <c r="S42" s="7">
        <v>1.8620000000000001</v>
      </c>
      <c r="T42" s="7">
        <v>1.6259999999999999</v>
      </c>
      <c r="U42" s="7">
        <v>2.3199999999999998</v>
      </c>
      <c r="V42" s="7"/>
      <c r="W42" s="7"/>
      <c r="X42" s="7"/>
      <c r="Y42" s="7"/>
      <c r="Z42" s="7" t="e" cm="1">
        <f t="array" ref="Z42">STABW</f>
        <v>#NAME?</v>
      </c>
      <c r="AA42" s="7"/>
      <c r="AB42" s="7"/>
      <c r="AC42" s="7" t="e">
        <f>Tabelle1563[[#This Row],[Standardabweichung 1]]/Tabelle1563[[#This Row],[Mean Visc. 1 '[mPas']]]</f>
        <v>#NAME?</v>
      </c>
      <c r="AD42" s="7" t="e">
        <f>Tabelle156[[#This Row],[Standardabweichung 2]]/Tabelle156[[#This Row],[Mean Visc. 2 '[mPas']2]]</f>
        <v>#DIV/0!</v>
      </c>
      <c r="AE42" s="7" t="e">
        <f>Tabelle156[[#This Row],[Standardabweichung 3]]/Tabelle156[[#This Row],[Mean Visc. 3 '[mPas']3]]</f>
        <v>#DIV/0!</v>
      </c>
      <c r="AF42" s="7"/>
      <c r="AG42" s="7" t="e">
        <f>1-Tabelle1563[[#This Row],[Mean Visc. 1 '[mPas']]]/#REF!</f>
        <v>#REF!</v>
      </c>
      <c r="AH42" s="7"/>
      <c r="AI42" s="7"/>
    </row>
    <row r="43" spans="1:35" x14ac:dyDescent="0.3">
      <c r="A43">
        <v>42</v>
      </c>
      <c r="B43" s="4"/>
      <c r="C43" s="5"/>
      <c r="D43" s="7">
        <v>2</v>
      </c>
      <c r="E43" t="s">
        <v>167</v>
      </c>
      <c r="G43" s="7" t="s">
        <v>161</v>
      </c>
      <c r="H43" s="11" t="s">
        <v>163</v>
      </c>
      <c r="I43" s="9" t="s">
        <v>12</v>
      </c>
      <c r="J43" s="7">
        <v>22.8</v>
      </c>
      <c r="K43" s="7">
        <v>10</v>
      </c>
      <c r="L43" s="7">
        <v>31.6</v>
      </c>
      <c r="M43" s="7">
        <v>395</v>
      </c>
      <c r="N43" s="7">
        <f>Tabelle1563[[#This Row],[Anzahl Frames]]/Tabelle1563[[#This Row],[Aufnahmezeit '[s']]]</f>
        <v>12.5</v>
      </c>
      <c r="O43" s="7">
        <f>1/Tabelle1563[[#This Row],[Mean fps ]]</f>
        <v>0.08</v>
      </c>
      <c r="P43" s="7">
        <v>40</v>
      </c>
      <c r="S43" s="7">
        <v>1.845</v>
      </c>
      <c r="T43" s="7">
        <v>1.5680000000000001</v>
      </c>
      <c r="U43" s="7">
        <v>2.37</v>
      </c>
      <c r="V43" s="7"/>
      <c r="W43" s="7"/>
      <c r="X43" s="7"/>
      <c r="Y43" s="7"/>
      <c r="Z43" s="7" t="e" cm="1">
        <f t="array" ref="Z43">STABW</f>
        <v>#NAME?</v>
      </c>
      <c r="AA43" s="7"/>
      <c r="AB43" s="7"/>
      <c r="AC43" s="7" t="e">
        <f>Tabelle1563[[#This Row],[Standardabweichung 1]]/Tabelle1563[[#This Row],[Mean Visc. 1 '[mPas']]]</f>
        <v>#NAME?</v>
      </c>
      <c r="AD43" s="7" t="e">
        <f>Tabelle156[[#This Row],[Standardabweichung 2]]/Tabelle156[[#This Row],[Mean Visc. 2 '[mPas']2]]</f>
        <v>#DIV/0!</v>
      </c>
      <c r="AE43" s="7" t="e">
        <f>Tabelle156[[#This Row],[Standardabweichung 3]]/Tabelle156[[#This Row],[Mean Visc. 3 '[mPas']3]]</f>
        <v>#DIV/0!</v>
      </c>
      <c r="AF43" s="7"/>
      <c r="AG43" s="7" t="e">
        <f>1-Tabelle1563[[#This Row],[Mean Visc. 1 '[mPas']]]/#REF!</f>
        <v>#REF!</v>
      </c>
      <c r="AH43" s="7"/>
      <c r="AI43" s="7"/>
    </row>
    <row r="44" spans="1:35" x14ac:dyDescent="0.3">
      <c r="A44">
        <v>43</v>
      </c>
      <c r="B44" s="4"/>
      <c r="C44" s="5"/>
      <c r="D44" s="7">
        <v>2</v>
      </c>
      <c r="E44" t="s">
        <v>167</v>
      </c>
      <c r="G44" s="7" t="s">
        <v>161</v>
      </c>
      <c r="H44" s="11" t="s">
        <v>163</v>
      </c>
      <c r="I44" s="9" t="s">
        <v>12</v>
      </c>
      <c r="J44" s="7">
        <v>22.9</v>
      </c>
      <c r="K44" s="7">
        <v>10</v>
      </c>
      <c r="L44" s="7">
        <v>30.8</v>
      </c>
      <c r="M44" s="7">
        <v>386</v>
      </c>
      <c r="N44" s="7">
        <f>Tabelle1563[[#This Row],[Anzahl Frames]]/Tabelle1563[[#This Row],[Aufnahmezeit '[s']]]</f>
        <v>12.532467532467532</v>
      </c>
      <c r="O44" s="7">
        <f>1/Tabelle1563[[#This Row],[Mean fps ]]</f>
        <v>7.9792746113989635E-2</v>
      </c>
      <c r="P44" s="7">
        <v>40</v>
      </c>
      <c r="S44" s="7">
        <v>1.889</v>
      </c>
      <c r="T44" s="7">
        <v>1.792</v>
      </c>
      <c r="U44" s="7">
        <v>2.319</v>
      </c>
      <c r="V44" s="7"/>
      <c r="W44" s="7"/>
      <c r="X44" s="7"/>
      <c r="Y44" s="7"/>
      <c r="Z44" s="7" t="e" cm="1">
        <f t="array" ref="Z44">STABW</f>
        <v>#NAME?</v>
      </c>
      <c r="AA44" s="7"/>
      <c r="AB44" s="7"/>
      <c r="AC44" s="7" t="e">
        <f>Tabelle1563[[#This Row],[Standardabweichung 1]]/Tabelle1563[[#This Row],[Mean Visc. 1 '[mPas']]]</f>
        <v>#NAME?</v>
      </c>
      <c r="AD44" s="7" t="e">
        <f>Tabelle156[[#This Row],[Standardabweichung 2]]/Tabelle156[[#This Row],[Mean Visc. 2 '[mPas']2]]</f>
        <v>#DIV/0!</v>
      </c>
      <c r="AE44" s="7" t="e">
        <f>Tabelle156[[#This Row],[Standardabweichung 3]]/Tabelle156[[#This Row],[Mean Visc. 3 '[mPas']3]]</f>
        <v>#DIV/0!</v>
      </c>
      <c r="AF44" s="7"/>
      <c r="AG44" s="7" t="e">
        <f>1-Tabelle1563[[#This Row],[Mean Visc. 1 '[mPas']]]/#REF!</f>
        <v>#REF!</v>
      </c>
      <c r="AH44" s="7"/>
      <c r="AI44" s="7"/>
    </row>
    <row r="45" spans="1:35" x14ac:dyDescent="0.3">
      <c r="A45">
        <v>44</v>
      </c>
      <c r="B45" s="4"/>
      <c r="C45" s="5"/>
      <c r="D45" s="7">
        <v>2</v>
      </c>
      <c r="E45" t="s">
        <v>167</v>
      </c>
      <c r="G45" s="7" t="s">
        <v>161</v>
      </c>
      <c r="H45" s="11" t="s">
        <v>163</v>
      </c>
      <c r="I45" s="9" t="s">
        <v>12</v>
      </c>
      <c r="J45" s="7">
        <v>23</v>
      </c>
      <c r="K45" s="7">
        <v>10</v>
      </c>
      <c r="L45" s="7">
        <v>31.28</v>
      </c>
      <c r="M45" s="7">
        <v>392</v>
      </c>
      <c r="N45" s="7">
        <f>Tabelle1563[[#This Row],[Anzahl Frames]]/Tabelle1563[[#This Row],[Aufnahmezeit '[s']]]</f>
        <v>12.531969309462916</v>
      </c>
      <c r="O45" s="7">
        <f>1/Tabelle1563[[#This Row],[Mean fps ]]</f>
        <v>7.9795918367346938E-2</v>
      </c>
      <c r="P45" s="7">
        <v>40</v>
      </c>
      <c r="S45" s="7">
        <v>1.857</v>
      </c>
      <c r="T45" s="7">
        <v>1.575</v>
      </c>
      <c r="U45" s="7">
        <v>2.2829999999999999</v>
      </c>
      <c r="V45" s="7"/>
      <c r="W45" s="7"/>
      <c r="X45" s="7"/>
      <c r="Y45" s="7"/>
      <c r="Z45" s="7" t="e" cm="1">
        <f t="array" ref="Z45">STABW</f>
        <v>#NAME?</v>
      </c>
      <c r="AA45" s="7"/>
      <c r="AB45" s="7"/>
      <c r="AC45" s="7" t="e">
        <f>Tabelle1563[[#This Row],[Standardabweichung 1]]/Tabelle1563[[#This Row],[Mean Visc. 1 '[mPas']]]</f>
        <v>#NAME?</v>
      </c>
      <c r="AD45" s="7" t="e">
        <f>Tabelle156[[#This Row],[Standardabweichung 2]]/Tabelle156[[#This Row],[Mean Visc. 2 '[mPas']2]]</f>
        <v>#DIV/0!</v>
      </c>
      <c r="AE45" s="7" t="e">
        <f>Tabelle156[[#This Row],[Standardabweichung 3]]/Tabelle156[[#This Row],[Mean Visc. 3 '[mPas']3]]</f>
        <v>#DIV/0!</v>
      </c>
      <c r="AF45" s="7"/>
      <c r="AG45" s="7" t="e">
        <f>1-Tabelle1563[[#This Row],[Mean Visc. 1 '[mPas']]]/#REF!</f>
        <v>#REF!</v>
      </c>
      <c r="AH45" s="7"/>
      <c r="AI45" s="7"/>
    </row>
    <row r="46" spans="1:35" s="14" customFormat="1" ht="15" thickBot="1" x14ac:dyDescent="0.35">
      <c r="A46">
        <v>45</v>
      </c>
      <c r="B46" s="15"/>
      <c r="C46" s="16"/>
      <c r="D46" s="7">
        <v>2</v>
      </c>
      <c r="E46" t="s">
        <v>167</v>
      </c>
      <c r="F46"/>
      <c r="G46" s="7" t="s">
        <v>161</v>
      </c>
      <c r="H46" s="21" t="s">
        <v>163</v>
      </c>
      <c r="I46" s="9" t="s">
        <v>12</v>
      </c>
      <c r="J46" s="17">
        <v>23</v>
      </c>
      <c r="K46" s="17">
        <v>10</v>
      </c>
      <c r="L46" s="17">
        <v>30.5</v>
      </c>
      <c r="M46" s="17">
        <v>381</v>
      </c>
      <c r="N46" s="17">
        <f>Tabelle1563[[#This Row],[Anzahl Frames]]/Tabelle1563[[#This Row],[Aufnahmezeit '[s']]]</f>
        <v>12.491803278688524</v>
      </c>
      <c r="O46" s="17">
        <f>1/Tabelle1563[[#This Row],[Mean fps ]]</f>
        <v>8.0052493438320216E-2</v>
      </c>
      <c r="P46" s="17">
        <v>40</v>
      </c>
      <c r="Q46" s="20"/>
      <c r="R46" s="21"/>
      <c r="S46" s="17">
        <v>1.776</v>
      </c>
      <c r="T46" s="17">
        <v>1.4850000000000001</v>
      </c>
      <c r="U46" s="17">
        <v>2.1749999999999998</v>
      </c>
      <c r="V46" s="17"/>
      <c r="W46" s="17"/>
      <c r="X46" s="17"/>
      <c r="Y46" s="17"/>
      <c r="Z46" s="17" t="e" cm="1">
        <f t="array" ref="Z46">STABW</f>
        <v>#NAME?</v>
      </c>
      <c r="AA46" s="17"/>
      <c r="AB46" s="17"/>
      <c r="AC46" s="17" t="e">
        <f>Tabelle1563[[#This Row],[Standardabweichung 1]]/Tabelle1563[[#This Row],[Mean Visc. 1 '[mPas']]]</f>
        <v>#NAME?</v>
      </c>
      <c r="AD46" s="17" t="e">
        <f>Tabelle156[[#This Row],[Standardabweichung 2]]/Tabelle156[[#This Row],[Mean Visc. 2 '[mPas']2]]</f>
        <v>#DIV/0!</v>
      </c>
      <c r="AE46" s="17" t="e">
        <f>Tabelle156[[#This Row],[Standardabweichung 3]]/Tabelle156[[#This Row],[Mean Visc. 3 '[mPas']3]]</f>
        <v>#DIV/0!</v>
      </c>
      <c r="AF46" s="17"/>
      <c r="AG46" s="17" t="e">
        <f>1-Tabelle1563[[#This Row],[Mean Visc. 1 '[mPas']]]/#REF!</f>
        <v>#REF!</v>
      </c>
      <c r="AH46" s="17"/>
      <c r="AI46" s="17"/>
    </row>
    <row r="47" spans="1:35" ht="15" thickTop="1" x14ac:dyDescent="0.3">
      <c r="A47">
        <v>46</v>
      </c>
      <c r="B47" s="4"/>
      <c r="C47" s="5"/>
      <c r="D47" s="7">
        <v>2</v>
      </c>
      <c r="E47" t="s">
        <v>167</v>
      </c>
      <c r="G47" s="7" t="s">
        <v>161</v>
      </c>
      <c r="H47" s="11" t="s">
        <v>163</v>
      </c>
      <c r="I47" s="9" t="s">
        <v>12</v>
      </c>
      <c r="J47" s="7">
        <v>23.2</v>
      </c>
      <c r="K47" s="7">
        <v>10</v>
      </c>
      <c r="L47" s="7">
        <v>30.4</v>
      </c>
      <c r="M47" s="7">
        <v>380</v>
      </c>
      <c r="N47" s="7">
        <f>Tabelle1563[[#This Row],[Anzahl Frames]]/Tabelle1563[[#This Row],[Aufnahmezeit '[s']]]</f>
        <v>12.5</v>
      </c>
      <c r="O47" s="7">
        <f>1/Tabelle1563[[#This Row],[Mean fps ]]</f>
        <v>0.08</v>
      </c>
      <c r="P47" s="7">
        <v>40</v>
      </c>
      <c r="S47" s="7">
        <v>1.831</v>
      </c>
      <c r="T47" s="7">
        <v>1.6359999999999999</v>
      </c>
      <c r="U47" s="7">
        <v>2.1659999999999999</v>
      </c>
      <c r="V47" s="7"/>
      <c r="W47" s="7"/>
      <c r="X47" s="7"/>
      <c r="Y47" s="7"/>
      <c r="Z47" s="7" t="e" cm="1">
        <f t="array" ref="Z47">STABW</f>
        <v>#NAME?</v>
      </c>
      <c r="AA47" s="7"/>
      <c r="AB47" s="7"/>
      <c r="AC47" s="7" t="e">
        <f>Tabelle1563[[#This Row],[Standardabweichung 1]]/Tabelle1563[[#This Row],[Mean Visc. 1 '[mPas']]]</f>
        <v>#NAME?</v>
      </c>
      <c r="AD47" s="7" t="e">
        <f>Tabelle156[[#This Row],[Standardabweichung 2]]/Tabelle156[[#This Row],[Mean Visc. 2 '[mPas']2]]</f>
        <v>#DIV/0!</v>
      </c>
      <c r="AE47" s="7" t="e">
        <f>Tabelle156[[#This Row],[Standardabweichung 3]]/Tabelle156[[#This Row],[Mean Visc. 3 '[mPas']3]]</f>
        <v>#DIV/0!</v>
      </c>
      <c r="AF47" s="7"/>
      <c r="AG47" s="7" t="e">
        <f>1-Tabelle1563[[#This Row],[Mean Visc. 1 '[mPas']]]/#REF!</f>
        <v>#REF!</v>
      </c>
      <c r="AH47" s="7"/>
      <c r="AI47" s="7"/>
    </row>
    <row r="48" spans="1:35" x14ac:dyDescent="0.3">
      <c r="A48">
        <v>47</v>
      </c>
      <c r="B48" s="4"/>
      <c r="C48" s="5"/>
      <c r="D48" s="7">
        <v>2</v>
      </c>
      <c r="E48" t="s">
        <v>167</v>
      </c>
      <c r="G48" s="7" t="s">
        <v>161</v>
      </c>
      <c r="H48" s="11" t="s">
        <v>163</v>
      </c>
      <c r="I48" s="9" t="s">
        <v>12</v>
      </c>
      <c r="J48" s="7">
        <v>23.2</v>
      </c>
      <c r="K48" s="7">
        <v>10</v>
      </c>
      <c r="L48" s="7">
        <v>29.68</v>
      </c>
      <c r="M48" s="7">
        <v>371</v>
      </c>
      <c r="N48" s="7">
        <f>Tabelle1563[[#This Row],[Anzahl Frames]]/Tabelle1563[[#This Row],[Aufnahmezeit '[s']]]</f>
        <v>12.5</v>
      </c>
      <c r="O48" s="7">
        <f>1/Tabelle1563[[#This Row],[Mean fps ]]</f>
        <v>0.08</v>
      </c>
      <c r="P48" s="7">
        <v>40</v>
      </c>
      <c r="S48" s="7">
        <v>1.675</v>
      </c>
      <c r="T48" s="7">
        <v>1.5269999999999999</v>
      </c>
      <c r="U48" s="7">
        <v>2.1120000000000001</v>
      </c>
      <c r="V48" s="7"/>
      <c r="W48" s="7"/>
      <c r="X48" s="7"/>
      <c r="Y48" s="7"/>
      <c r="Z48" s="7" t="e" cm="1">
        <f t="array" ref="Z48">STABW</f>
        <v>#NAME?</v>
      </c>
      <c r="AA48" s="7"/>
      <c r="AB48" s="7"/>
      <c r="AC48" s="7" t="e">
        <f>Tabelle1563[[#This Row],[Standardabweichung 1]]/Tabelle1563[[#This Row],[Mean Visc. 1 '[mPas']]]</f>
        <v>#NAME?</v>
      </c>
      <c r="AD48" s="7" t="e">
        <f>Tabelle156[[#This Row],[Standardabweichung 2]]/Tabelle156[[#This Row],[Mean Visc. 2 '[mPas']2]]</f>
        <v>#DIV/0!</v>
      </c>
      <c r="AE48" s="7" t="e">
        <f>Tabelle156[[#This Row],[Standardabweichung 3]]/Tabelle156[[#This Row],[Mean Visc. 3 '[mPas']3]]</f>
        <v>#DIV/0!</v>
      </c>
      <c r="AF48" s="7"/>
      <c r="AG48" s="7" t="e">
        <f>1-Tabelle1563[[#This Row],[Mean Visc. 1 '[mPas']]]/#REF!</f>
        <v>#REF!</v>
      </c>
      <c r="AH48" s="7"/>
      <c r="AI48" s="7"/>
    </row>
    <row r="49" spans="1:35" x14ac:dyDescent="0.3">
      <c r="A49">
        <v>48</v>
      </c>
      <c r="B49" s="4"/>
      <c r="C49" s="5"/>
      <c r="D49" s="7">
        <v>2</v>
      </c>
      <c r="E49" t="s">
        <v>167</v>
      </c>
      <c r="G49" s="7" t="s">
        <v>161</v>
      </c>
      <c r="H49" s="11" t="s">
        <v>163</v>
      </c>
      <c r="I49" s="9" t="s">
        <v>12</v>
      </c>
      <c r="J49" s="7">
        <v>23.4</v>
      </c>
      <c r="K49" s="7">
        <v>10</v>
      </c>
      <c r="L49" s="7">
        <v>30.4</v>
      </c>
      <c r="M49" s="7">
        <v>380</v>
      </c>
      <c r="N49" s="7">
        <f>Tabelle1563[[#This Row],[Anzahl Frames]]/Tabelle1563[[#This Row],[Aufnahmezeit '[s']]]</f>
        <v>12.5</v>
      </c>
      <c r="O49" s="7">
        <f>1/Tabelle1563[[#This Row],[Mean fps ]]</f>
        <v>0.08</v>
      </c>
      <c r="P49" s="7">
        <v>40</v>
      </c>
      <c r="S49" s="7">
        <v>1.788</v>
      </c>
      <c r="T49" s="7">
        <v>1.6279999999999999</v>
      </c>
      <c r="U49" s="7">
        <v>2.2080000000000002</v>
      </c>
      <c r="V49" s="7"/>
      <c r="W49" s="7"/>
      <c r="X49" s="7"/>
      <c r="Y49" s="7"/>
      <c r="Z49" s="7" t="e" cm="1">
        <f t="array" ref="Z49">STABW</f>
        <v>#NAME?</v>
      </c>
      <c r="AA49" s="7"/>
      <c r="AB49" s="7"/>
      <c r="AC49" s="7" t="e">
        <f>Tabelle1563[[#This Row],[Standardabweichung 1]]/Tabelle1563[[#This Row],[Mean Visc. 1 '[mPas']]]</f>
        <v>#NAME?</v>
      </c>
      <c r="AD49" s="7" t="e">
        <f>Tabelle156[[#This Row],[Standardabweichung 2]]/Tabelle156[[#This Row],[Mean Visc. 2 '[mPas']2]]</f>
        <v>#DIV/0!</v>
      </c>
      <c r="AE49" s="7" t="e">
        <f>Tabelle156[[#This Row],[Standardabweichung 3]]/Tabelle156[[#This Row],[Mean Visc. 3 '[mPas']3]]</f>
        <v>#DIV/0!</v>
      </c>
      <c r="AF49" s="7"/>
      <c r="AG49" s="7" t="e">
        <f>1-Tabelle1563[[#This Row],[Mean Visc. 1 '[mPas']]]/#REF!</f>
        <v>#REF!</v>
      </c>
      <c r="AH49" s="7"/>
      <c r="AI49" s="7"/>
    </row>
    <row r="50" spans="1:35" x14ac:dyDescent="0.3">
      <c r="A50">
        <v>49</v>
      </c>
      <c r="B50" s="4"/>
      <c r="C50" s="5"/>
      <c r="D50" s="7">
        <v>2</v>
      </c>
      <c r="E50" t="s">
        <v>167</v>
      </c>
      <c r="G50" s="7" t="s">
        <v>161</v>
      </c>
      <c r="H50" s="11" t="s">
        <v>163</v>
      </c>
      <c r="I50" s="9" t="s">
        <v>12</v>
      </c>
      <c r="J50" s="7">
        <v>23.4</v>
      </c>
      <c r="K50" s="7">
        <v>10</v>
      </c>
      <c r="L50" s="7">
        <v>30.56</v>
      </c>
      <c r="M50" s="7">
        <v>382</v>
      </c>
      <c r="N50" s="7">
        <f>Tabelle1563[[#This Row],[Anzahl Frames]]/Tabelle1563[[#This Row],[Aufnahmezeit '[s']]]</f>
        <v>12.5</v>
      </c>
      <c r="O50" s="7">
        <f>1/Tabelle1563[[#This Row],[Mean fps ]]</f>
        <v>0.08</v>
      </c>
      <c r="P50" s="7">
        <v>40</v>
      </c>
      <c r="S50" s="7">
        <v>1.9339999999999999</v>
      </c>
      <c r="T50" s="7">
        <v>1.6830000000000001</v>
      </c>
      <c r="U50" s="7">
        <v>2.3559999999999999</v>
      </c>
      <c r="V50" s="7"/>
      <c r="W50" s="7"/>
      <c r="X50" s="7"/>
      <c r="Y50" s="7"/>
      <c r="Z50" s="7" t="e" cm="1">
        <f t="array" ref="Z50">STABW</f>
        <v>#NAME?</v>
      </c>
      <c r="AA50" s="7"/>
      <c r="AB50" s="7"/>
      <c r="AC50" s="7" t="e">
        <f>Tabelle1563[[#This Row],[Standardabweichung 1]]/Tabelle1563[[#This Row],[Mean Visc. 1 '[mPas']]]</f>
        <v>#NAME?</v>
      </c>
      <c r="AD50" s="7" t="e">
        <f>Tabelle156[[#This Row],[Standardabweichung 2]]/Tabelle156[[#This Row],[Mean Visc. 2 '[mPas']2]]</f>
        <v>#DIV/0!</v>
      </c>
      <c r="AE50" s="7" t="e">
        <f>Tabelle156[[#This Row],[Standardabweichung 3]]/Tabelle156[[#This Row],[Mean Visc. 3 '[mPas']3]]</f>
        <v>#DIV/0!</v>
      </c>
      <c r="AF50" s="7"/>
      <c r="AG50" s="7" t="e">
        <f>1-Tabelle1563[[#This Row],[Mean Visc. 1 '[mPas']]]/#REF!</f>
        <v>#REF!</v>
      </c>
      <c r="AH50" s="7"/>
      <c r="AI50" s="7"/>
    </row>
    <row r="51" spans="1:35" s="14" customFormat="1" ht="15" thickBot="1" x14ac:dyDescent="0.35">
      <c r="A51">
        <v>50</v>
      </c>
      <c r="B51" s="15"/>
      <c r="C51" s="16"/>
      <c r="D51" s="7">
        <v>2</v>
      </c>
      <c r="E51" s="14" t="s">
        <v>167</v>
      </c>
      <c r="G51" s="17" t="s">
        <v>161</v>
      </c>
      <c r="H51" s="21" t="s">
        <v>163</v>
      </c>
      <c r="I51" s="19" t="s">
        <v>12</v>
      </c>
      <c r="J51" s="17">
        <v>23.5</v>
      </c>
      <c r="K51" s="17">
        <v>10</v>
      </c>
      <c r="L51" s="17">
        <v>30.48</v>
      </c>
      <c r="M51" s="17">
        <v>381</v>
      </c>
      <c r="N51" s="17">
        <f>Tabelle1563[[#This Row],[Anzahl Frames]]/Tabelle1563[[#This Row],[Aufnahmezeit '[s']]]</f>
        <v>12.5</v>
      </c>
      <c r="O51" s="17">
        <f>1/Tabelle1563[[#This Row],[Mean fps ]]</f>
        <v>0.08</v>
      </c>
      <c r="P51" s="17">
        <v>40</v>
      </c>
      <c r="Q51" s="20"/>
      <c r="R51" s="21"/>
      <c r="S51" s="17">
        <v>1.5549999999999999</v>
      </c>
      <c r="T51" s="17">
        <v>1.369</v>
      </c>
      <c r="U51" s="17">
        <v>1.8560000000000001</v>
      </c>
      <c r="V51" s="17"/>
      <c r="W51" s="7">
        <f>SUM(S42:S51)/10</f>
        <v>1.8012000000000001</v>
      </c>
      <c r="X51" s="7">
        <f>SUM(T42:T51)/10</f>
        <v>1.5888999999999998</v>
      </c>
      <c r="Y51" s="7">
        <f t="shared" ref="Y51" si="14">SUM(U42:U51)/10</f>
        <v>2.2164999999999999</v>
      </c>
      <c r="Z51" s="17">
        <f>_xlfn.STDEV.S(S42:S51)</f>
        <v>0.11170974293528146</v>
      </c>
      <c r="AA51" s="17">
        <f t="shared" ref="AA51" si="15">_xlfn.STDEV.S(T42:T51)</f>
        <v>0.11491102838476576</v>
      </c>
      <c r="AB51" s="17">
        <f>_xlfn.STDEV.S(U42:U51)</f>
        <v>0.15416027013757103</v>
      </c>
      <c r="AC51" s="17">
        <f>Tabelle1563[[#This Row],[Standardabweichung 1]]/Tabelle1563[[#This Row],[Mean Visc. 1 '[mPas']]]</f>
        <v>6.201962188279006E-2</v>
      </c>
      <c r="AD51" s="17">
        <f>Tabelle1563[[#This Row],[Standardabweichung 2]]/Tabelle1563[[#This Row],[Mean Visc. 2 '[mPas']2]]</f>
        <v>7.2321120514044795E-2</v>
      </c>
      <c r="AE51" s="17">
        <f>Tabelle1563[[#This Row],[Standardabweichung 3]]/Tabelle1563[[#This Row],[Mean Visc. 3 '[mPas']3]]</f>
        <v>6.9551215942960085E-2</v>
      </c>
      <c r="AF51" s="17"/>
      <c r="AG51" s="17" t="e">
        <f>1-Tabelle1563[[#This Row],[Mean Visc. 1 '[mPas']]]/#REF!</f>
        <v>#REF!</v>
      </c>
      <c r="AH51" s="17"/>
      <c r="AI51" s="17"/>
    </row>
    <row r="52" spans="1:35" ht="15" thickTop="1" x14ac:dyDescent="0.3">
      <c r="A52">
        <v>51</v>
      </c>
      <c r="B52" s="4"/>
      <c r="C52" s="5"/>
      <c r="D52" s="7">
        <v>2</v>
      </c>
      <c r="E52" t="s">
        <v>167</v>
      </c>
      <c r="G52" s="7" t="s">
        <v>161</v>
      </c>
      <c r="H52" s="11" t="s">
        <v>164</v>
      </c>
      <c r="I52" s="9" t="s">
        <v>12</v>
      </c>
      <c r="J52" s="7">
        <v>22.3</v>
      </c>
      <c r="K52" s="7">
        <v>10</v>
      </c>
      <c r="L52" s="7">
        <v>30.24</v>
      </c>
      <c r="M52" s="7">
        <v>379</v>
      </c>
      <c r="N52" s="7">
        <f>Tabelle1563[[#This Row],[Anzahl Frames]]/Tabelle1563[[#This Row],[Aufnahmezeit '[s']]]</f>
        <v>12.533068783068783</v>
      </c>
      <c r="O52" s="7">
        <f>1/Tabelle1563[[#This Row],[Mean fps ]]</f>
        <v>7.9788918205804749E-2</v>
      </c>
      <c r="P52" s="7">
        <v>40</v>
      </c>
      <c r="S52" s="7">
        <v>2.097</v>
      </c>
      <c r="T52" s="7">
        <v>1.6819999999999999</v>
      </c>
      <c r="U52" s="7">
        <v>2.34</v>
      </c>
      <c r="V52" s="7"/>
      <c r="W52" s="7"/>
      <c r="X52" s="7"/>
      <c r="Y52" s="7"/>
      <c r="Z52" s="7" t="e" cm="1">
        <f t="array" ref="Z52">STABW</f>
        <v>#NAME?</v>
      </c>
      <c r="AA52" s="7"/>
      <c r="AB52" s="7"/>
      <c r="AC52" s="7" t="e">
        <f>Tabelle1563[[#This Row],[Standardabweichung 1]]/Tabelle1563[[#This Row],[Mean Visc. 1 '[mPas']]]</f>
        <v>#NAME?</v>
      </c>
      <c r="AD52" s="7" t="e">
        <f>Tabelle156[[#This Row],[Standardabweichung 2]]/Tabelle156[[#This Row],[Mean Visc. 2 '[mPas']2]]</f>
        <v>#DIV/0!</v>
      </c>
      <c r="AE52" s="7" t="e">
        <f>Tabelle156[[#This Row],[Standardabweichung 3]]/Tabelle156[[#This Row],[Mean Visc. 3 '[mPas']3]]</f>
        <v>#DIV/0!</v>
      </c>
      <c r="AF52" s="7"/>
      <c r="AG52" s="7" t="e">
        <f>1-Tabelle1563[[#This Row],[Mean Visc. 1 '[mPas']]]/#REF!</f>
        <v>#REF!</v>
      </c>
      <c r="AH52" s="7"/>
      <c r="AI52" s="7"/>
    </row>
    <row r="53" spans="1:35" x14ac:dyDescent="0.3">
      <c r="A53">
        <v>52</v>
      </c>
      <c r="B53" s="4"/>
      <c r="C53" s="5"/>
      <c r="D53" s="7">
        <v>2</v>
      </c>
      <c r="E53" t="s">
        <v>167</v>
      </c>
      <c r="G53" s="7" t="s">
        <v>161</v>
      </c>
      <c r="H53" s="11" t="s">
        <v>164</v>
      </c>
      <c r="I53" s="9" t="s">
        <v>12</v>
      </c>
      <c r="J53" s="7">
        <v>22.5</v>
      </c>
      <c r="K53" s="7">
        <v>10</v>
      </c>
      <c r="L53" s="7">
        <v>29.76</v>
      </c>
      <c r="M53" s="7">
        <v>372</v>
      </c>
      <c r="N53" s="7">
        <f>Tabelle1563[[#This Row],[Anzahl Frames]]/Tabelle1563[[#This Row],[Aufnahmezeit '[s']]]</f>
        <v>12.5</v>
      </c>
      <c r="O53" s="7">
        <f>1/Tabelle1563[[#This Row],[Mean fps ]]</f>
        <v>0.08</v>
      </c>
      <c r="P53" s="7">
        <v>40</v>
      </c>
      <c r="S53" s="7">
        <v>1.9610000000000001</v>
      </c>
      <c r="T53" s="7">
        <v>1.5569999999999999</v>
      </c>
      <c r="U53" s="7">
        <v>1.921</v>
      </c>
      <c r="V53" s="7"/>
      <c r="W53" s="7"/>
      <c r="X53" s="7"/>
      <c r="Y53" s="7"/>
      <c r="Z53" s="7" t="e" cm="1">
        <f t="array" ref="Z53">STABW</f>
        <v>#NAME?</v>
      </c>
      <c r="AA53" s="7"/>
      <c r="AB53" s="7"/>
      <c r="AC53" s="7" t="e">
        <f>Tabelle1563[[#This Row],[Standardabweichung 1]]/Tabelle1563[[#This Row],[Mean Visc. 1 '[mPas']]]</f>
        <v>#NAME?</v>
      </c>
      <c r="AD53" s="7" t="e">
        <f>Tabelle156[[#This Row],[Standardabweichung 2]]/Tabelle156[[#This Row],[Mean Visc. 2 '[mPas']2]]</f>
        <v>#DIV/0!</v>
      </c>
      <c r="AE53" s="7" t="e">
        <f>Tabelle156[[#This Row],[Standardabweichung 3]]/Tabelle156[[#This Row],[Mean Visc. 3 '[mPas']3]]</f>
        <v>#DIV/0!</v>
      </c>
      <c r="AF53" s="7"/>
      <c r="AG53" s="7" t="e">
        <f>1-Tabelle1563[[#This Row],[Mean Visc. 1 '[mPas']]]/#REF!</f>
        <v>#REF!</v>
      </c>
      <c r="AH53" s="7"/>
      <c r="AI53" s="7"/>
    </row>
    <row r="54" spans="1:35" x14ac:dyDescent="0.3">
      <c r="A54">
        <v>53</v>
      </c>
      <c r="B54" s="4"/>
      <c r="C54" s="5"/>
      <c r="D54" s="7">
        <v>2</v>
      </c>
      <c r="E54" t="s">
        <v>167</v>
      </c>
      <c r="G54" s="7" t="s">
        <v>161</v>
      </c>
      <c r="H54" s="11" t="s">
        <v>164</v>
      </c>
      <c r="I54" s="9" t="s">
        <v>12</v>
      </c>
      <c r="J54" s="7">
        <v>22.5</v>
      </c>
      <c r="K54" s="7">
        <v>10</v>
      </c>
      <c r="L54" s="7">
        <v>30.42</v>
      </c>
      <c r="M54" s="7">
        <v>380</v>
      </c>
      <c r="N54" s="7">
        <f>Tabelle1563[[#This Row],[Anzahl Frames]]/Tabelle1563[[#This Row],[Aufnahmezeit '[s']]]</f>
        <v>12.491781722550952</v>
      </c>
      <c r="O54" s="7">
        <f>1/Tabelle1563[[#This Row],[Mean fps ]]</f>
        <v>8.0052631578947375E-2</v>
      </c>
      <c r="P54" s="7">
        <v>40</v>
      </c>
      <c r="S54" s="7">
        <v>1.921</v>
      </c>
      <c r="T54" s="7">
        <v>1.4850000000000001</v>
      </c>
      <c r="U54" s="7">
        <v>1.89</v>
      </c>
      <c r="V54" s="7"/>
      <c r="W54" s="7"/>
      <c r="X54" s="7"/>
      <c r="Y54" s="7"/>
      <c r="Z54" s="7" t="e" cm="1">
        <f t="array" ref="Z54">STABW</f>
        <v>#NAME?</v>
      </c>
      <c r="AA54" s="7"/>
      <c r="AB54" s="7"/>
      <c r="AC54" s="7" t="e">
        <f>Tabelle1563[[#This Row],[Standardabweichung 1]]/Tabelle1563[[#This Row],[Mean Visc. 1 '[mPas']]]</f>
        <v>#NAME?</v>
      </c>
      <c r="AD54" s="7" t="e">
        <f>Tabelle156[[#This Row],[Standardabweichung 2]]/Tabelle156[[#This Row],[Mean Visc. 2 '[mPas']2]]</f>
        <v>#DIV/0!</v>
      </c>
      <c r="AE54" s="7" t="e">
        <f>Tabelle156[[#This Row],[Standardabweichung 3]]/Tabelle156[[#This Row],[Mean Visc. 3 '[mPas']3]]</f>
        <v>#DIV/0!</v>
      </c>
      <c r="AF54" s="7"/>
      <c r="AG54" s="7" t="e">
        <f>1-Tabelle1563[[#This Row],[Mean Visc. 1 '[mPas']]]/#REF!</f>
        <v>#REF!</v>
      </c>
      <c r="AH54" s="7"/>
      <c r="AI54" s="7"/>
    </row>
    <row r="55" spans="1:35" x14ac:dyDescent="0.3">
      <c r="A55">
        <v>54</v>
      </c>
      <c r="B55" s="4"/>
      <c r="C55" s="5"/>
      <c r="D55" s="7">
        <v>2</v>
      </c>
      <c r="E55" t="s">
        <v>167</v>
      </c>
      <c r="G55" s="7" t="s">
        <v>161</v>
      </c>
      <c r="H55" s="11" t="s">
        <v>164</v>
      </c>
      <c r="I55" s="9" t="s">
        <v>12</v>
      </c>
      <c r="J55" s="7">
        <v>22.6</v>
      </c>
      <c r="K55" s="7">
        <v>10</v>
      </c>
      <c r="L55" s="7">
        <v>29.76</v>
      </c>
      <c r="M55" s="7">
        <v>372</v>
      </c>
      <c r="N55" s="7">
        <f>Tabelle1563[[#This Row],[Anzahl Frames]]/Tabelle1563[[#This Row],[Aufnahmezeit '[s']]]</f>
        <v>12.5</v>
      </c>
      <c r="O55" s="7">
        <f>1/Tabelle1563[[#This Row],[Mean fps ]]</f>
        <v>0.08</v>
      </c>
      <c r="P55" s="7">
        <v>40</v>
      </c>
      <c r="S55" s="7">
        <v>2.133</v>
      </c>
      <c r="T55" s="7">
        <v>1.002</v>
      </c>
      <c r="U55" s="7">
        <v>2.4889999999999999</v>
      </c>
      <c r="V55" s="7"/>
      <c r="W55" s="7"/>
      <c r="X55" s="7"/>
      <c r="Y55" s="7"/>
      <c r="Z55" s="7" t="e" cm="1">
        <f t="array" ref="Z55">STABW</f>
        <v>#NAME?</v>
      </c>
      <c r="AA55" s="7"/>
      <c r="AB55" s="7"/>
      <c r="AC55" s="7" t="e">
        <f>Tabelle1563[[#This Row],[Standardabweichung 1]]/Tabelle1563[[#This Row],[Mean Visc. 1 '[mPas']]]</f>
        <v>#NAME?</v>
      </c>
      <c r="AD55" s="7" t="e">
        <f>Tabelle156[[#This Row],[Standardabweichung 2]]/Tabelle156[[#This Row],[Mean Visc. 2 '[mPas']2]]</f>
        <v>#DIV/0!</v>
      </c>
      <c r="AE55" s="7" t="e">
        <f>Tabelle156[[#This Row],[Standardabweichung 3]]/Tabelle156[[#This Row],[Mean Visc. 3 '[mPas']3]]</f>
        <v>#DIV/0!</v>
      </c>
      <c r="AF55" s="7"/>
      <c r="AG55" s="7" t="e">
        <f>1-Tabelle1563[[#This Row],[Mean Visc. 1 '[mPas']]]/#REF!</f>
        <v>#REF!</v>
      </c>
      <c r="AH55" s="7"/>
      <c r="AI55" s="7"/>
    </row>
    <row r="56" spans="1:35" s="14" customFormat="1" ht="15" thickBot="1" x14ac:dyDescent="0.35">
      <c r="A56">
        <v>55</v>
      </c>
      <c r="B56" s="15"/>
      <c r="C56" s="16"/>
      <c r="D56" s="7">
        <v>2</v>
      </c>
      <c r="E56" t="s">
        <v>167</v>
      </c>
      <c r="F56"/>
      <c r="G56" s="7" t="s">
        <v>161</v>
      </c>
      <c r="H56" s="21" t="s">
        <v>164</v>
      </c>
      <c r="I56" s="9" t="s">
        <v>12</v>
      </c>
      <c r="J56" s="17">
        <v>22.7</v>
      </c>
      <c r="K56" s="17">
        <v>10</v>
      </c>
      <c r="L56" s="17">
        <v>30.82</v>
      </c>
      <c r="M56" s="17">
        <v>385</v>
      </c>
      <c r="N56" s="17">
        <f>Tabelle1563[[#This Row],[Anzahl Frames]]/Tabelle1563[[#This Row],[Aufnahmezeit '[s']]]</f>
        <v>12.491888384166126</v>
      </c>
      <c r="O56" s="17">
        <f>1/Tabelle1563[[#This Row],[Mean fps ]]</f>
        <v>8.0051948051948055E-2</v>
      </c>
      <c r="P56" s="17">
        <v>40</v>
      </c>
      <c r="Q56" s="20"/>
      <c r="R56" s="21"/>
      <c r="S56" s="17">
        <v>1.901</v>
      </c>
      <c r="T56" s="17">
        <v>1.72</v>
      </c>
      <c r="U56" s="17">
        <v>2.2440000000000002</v>
      </c>
      <c r="V56" s="17"/>
      <c r="W56" s="17">
        <f>SUM(S52:S56)/5</f>
        <v>2.0026000000000002</v>
      </c>
      <c r="X56" s="17">
        <f t="shared" ref="X56" si="16">SUM(T52:T56)/5</f>
        <v>1.4891999999999999</v>
      </c>
      <c r="Y56" s="17">
        <f t="shared" ref="Y56" si="17">SUM(U52:U56)/5</f>
        <v>2.1768000000000001</v>
      </c>
      <c r="Z56" s="17">
        <f>_xlfn.STDEV.S(S52:S56)</f>
        <v>0.1056257544351755</v>
      </c>
      <c r="AA56" s="17">
        <f t="shared" ref="AA56" si="18">_xlfn.STDEV.S(T52:T56)</f>
        <v>0.28827885805240777</v>
      </c>
      <c r="AB56" s="17">
        <f t="shared" ref="AB56" si="19">_xlfn.STDEV.S(U52:U56)</f>
        <v>0.26282446613661981</v>
      </c>
      <c r="AC56" s="17">
        <f>Tabelle1563[[#This Row],[Standardabweichung 1]]/Tabelle1563[[#This Row],[Mean Visc. 1 '[mPas']]]</f>
        <v>5.2744309615088129E-2</v>
      </c>
      <c r="AD56" s="17">
        <f>Tabelle1563[[#This Row],[Standardabweichung 2]]/Tabelle1563[[#This Row],[Mean Visc. 2 '[mPas']2]]</f>
        <v>0.19357967905748577</v>
      </c>
      <c r="AE56" s="17">
        <f>Tabelle1563[[#This Row],[Standardabweichung 3]]/Tabelle1563[[#This Row],[Mean Visc. 3 '[mPas']3]]</f>
        <v>0.12073891314618697</v>
      </c>
      <c r="AF56" s="17"/>
      <c r="AG56" s="17" t="e">
        <f>1-Tabelle1563[[#This Row],[Mean Visc. 1 '[mPas']]]/#REF!</f>
        <v>#REF!</v>
      </c>
      <c r="AH56" s="17"/>
      <c r="AI56" s="17"/>
    </row>
    <row r="57" spans="1:35" ht="15" thickTop="1" x14ac:dyDescent="0.3">
      <c r="A57">
        <v>56</v>
      </c>
      <c r="B57" s="4"/>
      <c r="C57" s="5"/>
      <c r="D57" s="7">
        <v>2</v>
      </c>
      <c r="E57" t="s">
        <v>167</v>
      </c>
      <c r="G57" s="7" t="s">
        <v>161</v>
      </c>
      <c r="H57" s="11" t="s">
        <v>164</v>
      </c>
      <c r="I57" s="9" t="s">
        <v>12</v>
      </c>
      <c r="J57" s="7">
        <v>22.9</v>
      </c>
      <c r="K57" s="7">
        <v>10</v>
      </c>
      <c r="L57" s="7">
        <v>30.16</v>
      </c>
      <c r="M57" s="7">
        <v>377</v>
      </c>
      <c r="N57" s="7">
        <f>Tabelle1563[[#This Row],[Anzahl Frames]]/Tabelle1563[[#This Row],[Aufnahmezeit '[s']]]</f>
        <v>12.5</v>
      </c>
      <c r="O57" s="7">
        <f>1/Tabelle1563[[#This Row],[Mean fps ]]</f>
        <v>0.08</v>
      </c>
      <c r="P57" s="7">
        <v>40</v>
      </c>
      <c r="S57" s="7">
        <v>1.6479999999999999</v>
      </c>
      <c r="T57" s="7">
        <v>1.361</v>
      </c>
      <c r="U57" s="7">
        <v>2.0070000000000001</v>
      </c>
      <c r="V57" s="7"/>
      <c r="W57" s="7"/>
      <c r="X57" s="7"/>
      <c r="Y57" s="7"/>
      <c r="Z57" s="7" t="e" cm="1">
        <f t="array" ref="Z57">STABW</f>
        <v>#NAME?</v>
      </c>
      <c r="AA57" s="7"/>
      <c r="AB57" s="7"/>
      <c r="AC57" s="7" t="e">
        <f>Tabelle1563[[#This Row],[Standardabweichung 1]]/Tabelle1563[[#This Row],[Mean Visc. 1 '[mPas']]]</f>
        <v>#NAME?</v>
      </c>
      <c r="AD57" s="7" t="e">
        <f>Tabelle156[[#This Row],[Standardabweichung 2]]/Tabelle156[[#This Row],[Mean Visc. 2 '[mPas']2]]</f>
        <v>#DIV/0!</v>
      </c>
      <c r="AE57" s="7" t="e">
        <f>Tabelle156[[#This Row],[Standardabweichung 3]]/Tabelle156[[#This Row],[Mean Visc. 3 '[mPas']3]]</f>
        <v>#DIV/0!</v>
      </c>
      <c r="AF57" s="7"/>
      <c r="AG57" s="7" t="e">
        <f>1-Tabelle1563[[#This Row],[Mean Visc. 1 '[mPas']]]/#REF!</f>
        <v>#REF!</v>
      </c>
      <c r="AH57" s="7"/>
      <c r="AI57" s="7"/>
    </row>
    <row r="58" spans="1:35" x14ac:dyDescent="0.3">
      <c r="A58">
        <v>57</v>
      </c>
      <c r="B58" s="4"/>
      <c r="C58" s="5"/>
      <c r="D58" s="7">
        <v>2</v>
      </c>
      <c r="E58" t="s">
        <v>167</v>
      </c>
      <c r="G58" s="7" t="s">
        <v>161</v>
      </c>
      <c r="H58" s="11" t="s">
        <v>164</v>
      </c>
      <c r="I58" s="9" t="s">
        <v>12</v>
      </c>
      <c r="J58" s="7">
        <v>22.9</v>
      </c>
      <c r="K58" s="7">
        <v>10</v>
      </c>
      <c r="L58" s="7">
        <v>31.91</v>
      </c>
      <c r="M58" s="7">
        <v>399</v>
      </c>
      <c r="N58" s="7">
        <f>Tabelle1563[[#This Row],[Anzahl Frames]]/Tabelle1563[[#This Row],[Aufnahmezeit '[s']]]</f>
        <v>12.503917267314321</v>
      </c>
      <c r="O58" s="7">
        <f>1/Tabelle1563[[#This Row],[Mean fps ]]</f>
        <v>7.9974937343358393E-2</v>
      </c>
      <c r="P58" s="7">
        <v>40</v>
      </c>
      <c r="S58" s="7">
        <v>1.7909999999999999</v>
      </c>
      <c r="T58" s="7">
        <v>1.5189999999999999</v>
      </c>
      <c r="U58" s="7">
        <v>1.8919999999999999</v>
      </c>
      <c r="V58" s="7"/>
      <c r="W58" s="7"/>
      <c r="X58" s="7"/>
      <c r="Y58" s="7"/>
      <c r="Z58" s="7" t="e" cm="1">
        <f t="array" ref="Z58">STABW</f>
        <v>#NAME?</v>
      </c>
      <c r="AA58" s="7"/>
      <c r="AB58" s="7"/>
      <c r="AC58" s="7" t="e">
        <f>Tabelle1563[[#This Row],[Standardabweichung 1]]/Tabelle1563[[#This Row],[Mean Visc. 1 '[mPas']]]</f>
        <v>#NAME?</v>
      </c>
      <c r="AD58" s="7" t="e">
        <f>Tabelle156[[#This Row],[Standardabweichung 2]]/Tabelle156[[#This Row],[Mean Visc. 2 '[mPas']2]]</f>
        <v>#DIV/0!</v>
      </c>
      <c r="AE58" s="7" t="e">
        <f>Tabelle156[[#This Row],[Standardabweichung 3]]/Tabelle156[[#This Row],[Mean Visc. 3 '[mPas']3]]</f>
        <v>#DIV/0!</v>
      </c>
      <c r="AF58" s="7"/>
      <c r="AG58" s="7" t="e">
        <f>1-Tabelle1563[[#This Row],[Mean Visc. 1 '[mPas']]]/#REF!</f>
        <v>#REF!</v>
      </c>
      <c r="AH58" s="7"/>
      <c r="AI58" s="7"/>
    </row>
    <row r="59" spans="1:35" x14ac:dyDescent="0.3">
      <c r="A59">
        <v>58</v>
      </c>
      <c r="B59" s="4"/>
      <c r="C59" s="5"/>
      <c r="D59" s="7">
        <v>2</v>
      </c>
      <c r="E59" t="s">
        <v>167</v>
      </c>
      <c r="G59" s="7" t="s">
        <v>161</v>
      </c>
      <c r="H59" s="11" t="s">
        <v>164</v>
      </c>
      <c r="I59" s="9" t="s">
        <v>12</v>
      </c>
      <c r="J59" s="7">
        <v>23</v>
      </c>
      <c r="K59" s="7">
        <v>10</v>
      </c>
      <c r="L59" s="7">
        <v>32.1</v>
      </c>
      <c r="M59" s="7">
        <v>401</v>
      </c>
      <c r="N59" s="7">
        <f>Tabelle1563[[#This Row],[Anzahl Frames]]/Tabelle1563[[#This Row],[Aufnahmezeit '[s']]]</f>
        <v>12.492211838006231</v>
      </c>
      <c r="O59" s="7">
        <f>1/Tabelle1563[[#This Row],[Mean fps ]]</f>
        <v>8.0049875311720697E-2</v>
      </c>
      <c r="P59" s="7">
        <v>40</v>
      </c>
      <c r="S59" s="7">
        <v>1.9219999999999999</v>
      </c>
      <c r="T59" s="7">
        <v>1.645</v>
      </c>
      <c r="U59" s="7">
        <v>2.5049999999999999</v>
      </c>
      <c r="V59" s="7"/>
      <c r="W59" s="7"/>
      <c r="X59" s="7"/>
      <c r="Y59" s="7"/>
      <c r="Z59" s="7" t="e" cm="1">
        <f t="array" ref="Z59">STABW</f>
        <v>#NAME?</v>
      </c>
      <c r="AA59" s="7"/>
      <c r="AB59" s="7"/>
      <c r="AC59" s="7" t="e">
        <f>Tabelle1563[[#This Row],[Standardabweichung 1]]/Tabelle1563[[#This Row],[Mean Visc. 1 '[mPas']]]</f>
        <v>#NAME?</v>
      </c>
      <c r="AD59" s="7" t="e">
        <f>Tabelle156[[#This Row],[Standardabweichung 2]]/Tabelle156[[#This Row],[Mean Visc. 2 '[mPas']2]]</f>
        <v>#DIV/0!</v>
      </c>
      <c r="AE59" s="7" t="e">
        <f>Tabelle156[[#This Row],[Standardabweichung 3]]/Tabelle156[[#This Row],[Mean Visc. 3 '[mPas']3]]</f>
        <v>#DIV/0!</v>
      </c>
      <c r="AF59" s="7"/>
      <c r="AG59" s="7" t="e">
        <f>1-Tabelle1563[[#This Row],[Mean Visc. 1 '[mPas']]]/#REF!</f>
        <v>#REF!</v>
      </c>
      <c r="AH59" s="7"/>
      <c r="AI59" s="7"/>
    </row>
    <row r="60" spans="1:35" x14ac:dyDescent="0.3">
      <c r="A60">
        <v>59</v>
      </c>
      <c r="B60" s="4"/>
      <c r="C60" s="5"/>
      <c r="D60" s="7">
        <v>2</v>
      </c>
      <c r="E60" t="s">
        <v>167</v>
      </c>
      <c r="G60" s="7" t="s">
        <v>161</v>
      </c>
      <c r="H60" s="11" t="s">
        <v>164</v>
      </c>
      <c r="I60" s="9" t="s">
        <v>12</v>
      </c>
      <c r="J60" s="7">
        <v>23</v>
      </c>
      <c r="K60" s="7">
        <v>10</v>
      </c>
      <c r="L60" s="7">
        <v>30.56</v>
      </c>
      <c r="M60" s="7">
        <v>382</v>
      </c>
      <c r="N60" s="7">
        <f>Tabelle1563[[#This Row],[Anzahl Frames]]/Tabelle1563[[#This Row],[Aufnahmezeit '[s']]]</f>
        <v>12.5</v>
      </c>
      <c r="O60" s="7">
        <f>1/Tabelle1563[[#This Row],[Mean fps ]]</f>
        <v>0.08</v>
      </c>
      <c r="P60" s="7">
        <v>40</v>
      </c>
      <c r="S60" s="7">
        <v>2.1589999999999998</v>
      </c>
      <c r="T60" s="7">
        <v>1.968</v>
      </c>
      <c r="U60" s="7">
        <v>2.5310000000000001</v>
      </c>
      <c r="V60" s="7"/>
      <c r="W60" s="7"/>
      <c r="X60" s="7"/>
      <c r="Y60" s="7"/>
      <c r="Z60" s="7" t="e" cm="1">
        <f t="array" ref="Z60">STABW</f>
        <v>#NAME?</v>
      </c>
      <c r="AA60" s="7"/>
      <c r="AB60" s="7"/>
      <c r="AC60" s="7" t="e">
        <f>Tabelle1563[[#This Row],[Standardabweichung 1]]/Tabelle1563[[#This Row],[Mean Visc. 1 '[mPas']]]</f>
        <v>#NAME?</v>
      </c>
      <c r="AD60" s="7" t="e">
        <f>Tabelle156[[#This Row],[Standardabweichung 2]]/Tabelle156[[#This Row],[Mean Visc. 2 '[mPas']2]]</f>
        <v>#DIV/0!</v>
      </c>
      <c r="AE60" s="7" t="e">
        <f>Tabelle156[[#This Row],[Standardabweichung 3]]/Tabelle156[[#This Row],[Mean Visc. 3 '[mPas']3]]</f>
        <v>#DIV/0!</v>
      </c>
      <c r="AF60" s="7"/>
      <c r="AG60" s="7" t="e">
        <f>1-Tabelle1563[[#This Row],[Mean Visc. 1 '[mPas']]]/#REF!</f>
        <v>#REF!</v>
      </c>
      <c r="AH60" s="7"/>
      <c r="AI60" s="7"/>
    </row>
    <row r="61" spans="1:35" s="14" customFormat="1" ht="15" thickBot="1" x14ac:dyDescent="0.35">
      <c r="A61">
        <v>60</v>
      </c>
      <c r="B61" s="15"/>
      <c r="C61" s="16"/>
      <c r="D61" s="7">
        <v>2</v>
      </c>
      <c r="E61" s="14" t="s">
        <v>167</v>
      </c>
      <c r="G61" s="17" t="s">
        <v>161</v>
      </c>
      <c r="H61" s="21" t="s">
        <v>164</v>
      </c>
      <c r="I61" s="19" t="s">
        <v>12</v>
      </c>
      <c r="J61" s="17">
        <v>23.1</v>
      </c>
      <c r="K61" s="17">
        <v>10</v>
      </c>
      <c r="L61" s="17">
        <v>31.12</v>
      </c>
      <c r="M61" s="17">
        <v>389</v>
      </c>
      <c r="N61" s="17">
        <f>Tabelle1563[[#This Row],[Anzahl Frames]]/Tabelle1563[[#This Row],[Aufnahmezeit '[s']]]</f>
        <v>12.5</v>
      </c>
      <c r="O61" s="17">
        <f>1/Tabelle1563[[#This Row],[Mean fps ]]</f>
        <v>0.08</v>
      </c>
      <c r="P61" s="17">
        <v>40</v>
      </c>
      <c r="Q61" s="20"/>
      <c r="R61" s="21"/>
      <c r="S61" s="17">
        <v>1.925</v>
      </c>
      <c r="T61" s="17">
        <v>1.65</v>
      </c>
      <c r="U61" s="17">
        <v>2.335</v>
      </c>
      <c r="V61" s="17"/>
      <c r="W61" s="7">
        <f>SUM(S52:S61)/10</f>
        <v>1.9458000000000002</v>
      </c>
      <c r="X61" s="7">
        <f>SUM(T52:T61)/10</f>
        <v>1.5589</v>
      </c>
      <c r="Y61" s="7">
        <f t="shared" ref="Y61" si="20">SUM(U52:U61)/10</f>
        <v>2.2153999999999998</v>
      </c>
      <c r="Z61" s="17">
        <f>_xlfn.STDEV.S(S52:S61)</f>
        <v>0.15629729506438825</v>
      </c>
      <c r="AA61" s="17">
        <f t="shared" ref="AA61" si="21">_xlfn.STDEV.S(T52:T61)</f>
        <v>0.25397744869268202</v>
      </c>
      <c r="AB61" s="17">
        <f>_xlfn.STDEV.S(U52:U61)</f>
        <v>0.26448070713086874</v>
      </c>
      <c r="AC61" s="17">
        <f>Tabelle1563[[#This Row],[Standardabweichung 1]]/Tabelle1563[[#This Row],[Mean Visc. 1 '[mPas']]]</f>
        <v>8.0325467707055315E-2</v>
      </c>
      <c r="AD61" s="17">
        <f>Tabelle1563[[#This Row],[Standardabweichung 2]]/Tabelle1563[[#This Row],[Mean Visc. 2 '[mPas']2]]</f>
        <v>0.1629209370021695</v>
      </c>
      <c r="AE61" s="17">
        <f>Tabelle1563[[#This Row],[Standardabweichung 3]]/Tabelle1563[[#This Row],[Mean Visc. 3 '[mPas']3]]</f>
        <v>0.11938282347696523</v>
      </c>
      <c r="AF61" s="17"/>
      <c r="AG61" s="17" t="e">
        <f>1-Tabelle1563[[#This Row],[Mean Visc. 1 '[mPas']]]/#REF!</f>
        <v>#REF!</v>
      </c>
      <c r="AH61" s="17"/>
      <c r="AI61" s="17"/>
    </row>
    <row r="62" spans="1:35" ht="15" thickTop="1" x14ac:dyDescent="0.3">
      <c r="A62">
        <v>61</v>
      </c>
      <c r="B62" s="4"/>
      <c r="C62" s="5"/>
      <c r="D62" s="7">
        <v>3</v>
      </c>
      <c r="E62" t="s">
        <v>169</v>
      </c>
      <c r="G62" s="7" t="s">
        <v>161</v>
      </c>
      <c r="H62" s="11" t="s">
        <v>160</v>
      </c>
      <c r="I62" s="9" t="s">
        <v>12</v>
      </c>
      <c r="J62" s="7">
        <v>25.2</v>
      </c>
      <c r="K62" s="7">
        <v>10</v>
      </c>
      <c r="L62" s="7">
        <v>31.12</v>
      </c>
      <c r="M62" s="7">
        <v>389</v>
      </c>
      <c r="N62" s="7">
        <f>Tabelle1563[[#This Row],[Anzahl Frames]]/Tabelle1563[[#This Row],[Aufnahmezeit '[s']]]</f>
        <v>12.5</v>
      </c>
      <c r="O62" s="7">
        <f>1/Tabelle1563[[#This Row],[Mean fps ]]</f>
        <v>0.08</v>
      </c>
      <c r="P62" s="7">
        <v>40</v>
      </c>
      <c r="S62" s="7">
        <v>1.1679999999999999</v>
      </c>
      <c r="T62" s="7">
        <v>0.94899999999999995</v>
      </c>
      <c r="U62" s="7">
        <v>1.611</v>
      </c>
      <c r="V62" s="7"/>
      <c r="W62" s="7"/>
      <c r="X62" s="7"/>
      <c r="Y62" s="7"/>
      <c r="Z62" s="7" t="e" cm="1">
        <f t="array" ref="Z62">STABW</f>
        <v>#NAME?</v>
      </c>
      <c r="AA62" s="7"/>
      <c r="AB62" s="7"/>
      <c r="AC62" s="7" t="e">
        <f>Tabelle1563[[#This Row],[Standardabweichung 1]]/Tabelle1563[[#This Row],[Mean Visc. 1 '[mPas']]]</f>
        <v>#NAME?</v>
      </c>
      <c r="AD62" s="7" t="e">
        <f>Tabelle156[[#This Row],[Standardabweichung 2]]/Tabelle156[[#This Row],[Mean Visc. 2 '[mPas']2]]</f>
        <v>#DIV/0!</v>
      </c>
      <c r="AE62" s="7" t="e">
        <f>Tabelle156[[#This Row],[Standardabweichung 3]]/Tabelle156[[#This Row],[Mean Visc. 3 '[mPas']3]]</f>
        <v>#DIV/0!</v>
      </c>
      <c r="AF62" s="7"/>
      <c r="AG62" s="7" t="e">
        <f>1-Tabelle1563[[#This Row],[Mean Visc. 1 '[mPas']]]/#REF!</f>
        <v>#REF!</v>
      </c>
      <c r="AH62" s="7"/>
      <c r="AI62" s="7"/>
    </row>
    <row r="63" spans="1:35" x14ac:dyDescent="0.3">
      <c r="A63">
        <v>62</v>
      </c>
      <c r="B63" s="4"/>
      <c r="C63" s="5"/>
      <c r="D63" s="7">
        <v>3</v>
      </c>
      <c r="E63" t="s">
        <v>169</v>
      </c>
      <c r="G63" s="7" t="s">
        <v>161</v>
      </c>
      <c r="H63" s="11" t="s">
        <v>160</v>
      </c>
      <c r="I63" s="9" t="s">
        <v>12</v>
      </c>
      <c r="J63" s="7">
        <v>25.2</v>
      </c>
      <c r="K63" s="7">
        <v>10</v>
      </c>
      <c r="L63" s="7">
        <v>31.46</v>
      </c>
      <c r="M63" s="7">
        <v>393</v>
      </c>
      <c r="N63" s="7">
        <f>Tabelle1563[[#This Row],[Anzahl Frames]]/Tabelle1563[[#This Row],[Aufnahmezeit '[s']]]</f>
        <v>12.492053401144309</v>
      </c>
      <c r="O63" s="7">
        <f>1/Tabelle1563[[#This Row],[Mean fps ]]</f>
        <v>8.0050890585241744E-2</v>
      </c>
      <c r="P63" s="7">
        <v>40</v>
      </c>
      <c r="S63" s="7">
        <v>1.139</v>
      </c>
      <c r="T63" s="7">
        <v>0.90700000000000003</v>
      </c>
      <c r="U63" s="7">
        <v>1.649</v>
      </c>
      <c r="V63" s="7"/>
      <c r="W63" s="7"/>
      <c r="X63" s="7"/>
      <c r="Y63" s="7"/>
      <c r="Z63" s="7" t="e" cm="1">
        <f t="array" ref="Z63">STABW</f>
        <v>#NAME?</v>
      </c>
      <c r="AA63" s="7"/>
      <c r="AB63" s="7"/>
      <c r="AC63" s="7" t="e">
        <f>Tabelle1563[[#This Row],[Standardabweichung 1]]/Tabelle1563[[#This Row],[Mean Visc. 1 '[mPas']]]</f>
        <v>#NAME?</v>
      </c>
      <c r="AD63" s="7" t="e">
        <f>Tabelle156[[#This Row],[Standardabweichung 2]]/Tabelle156[[#This Row],[Mean Visc. 2 '[mPas']2]]</f>
        <v>#DIV/0!</v>
      </c>
      <c r="AE63" s="7" t="e">
        <f>Tabelle156[[#This Row],[Standardabweichung 3]]/Tabelle156[[#This Row],[Mean Visc. 3 '[mPas']3]]</f>
        <v>#DIV/0!</v>
      </c>
      <c r="AF63" s="7"/>
      <c r="AG63" s="7" t="e">
        <f>1-Tabelle1563[[#This Row],[Mean Visc. 1 '[mPas']]]/#REF!</f>
        <v>#REF!</v>
      </c>
      <c r="AH63" s="7"/>
      <c r="AI63" s="7"/>
    </row>
    <row r="64" spans="1:35" s="7" customFormat="1" x14ac:dyDescent="0.3">
      <c r="A64">
        <v>63</v>
      </c>
      <c r="B64" s="4"/>
      <c r="C64" s="5"/>
      <c r="D64" s="7">
        <v>3</v>
      </c>
      <c r="E64" t="s">
        <v>169</v>
      </c>
      <c r="F64"/>
      <c r="G64" s="7" t="s">
        <v>161</v>
      </c>
      <c r="H64" s="11" t="s">
        <v>160</v>
      </c>
      <c r="I64" s="9" t="s">
        <v>12</v>
      </c>
      <c r="J64" s="7">
        <v>25.2</v>
      </c>
      <c r="K64" s="7">
        <v>10</v>
      </c>
      <c r="L64" s="7">
        <v>32.4</v>
      </c>
      <c r="M64" s="7">
        <v>406</v>
      </c>
      <c r="N64" s="7">
        <f>Tabelle1563[[#This Row],[Anzahl Frames]]/Tabelle1563[[#This Row],[Aufnahmezeit '[s']]]</f>
        <v>12.530864197530864</v>
      </c>
      <c r="O64" s="7">
        <f>1/Tabelle1563[[#This Row],[Mean fps ]]</f>
        <v>7.9802955665024627E-2</v>
      </c>
      <c r="P64" s="7">
        <v>40</v>
      </c>
      <c r="Q64" s="3"/>
      <c r="R64" s="11"/>
      <c r="S64" s="7">
        <v>1.1000000000000001</v>
      </c>
      <c r="T64" s="7">
        <v>0.91100000000000003</v>
      </c>
      <c r="U64" s="7">
        <v>1.5840000000000001</v>
      </c>
      <c r="Z64" s="7" t="e" cm="1">
        <f t="array" ref="Z64">STABW</f>
        <v>#NAME?</v>
      </c>
      <c r="AC64" s="7" t="e">
        <f>Tabelle1563[[#This Row],[Standardabweichung 1]]/Tabelle1563[[#This Row],[Mean Visc. 1 '[mPas']]]</f>
        <v>#NAME?</v>
      </c>
      <c r="AD64" s="7" t="e">
        <f>Tabelle156[[#This Row],[Standardabweichung 2]]/Tabelle156[[#This Row],[Mean Visc. 2 '[mPas']2]]</f>
        <v>#DIV/0!</v>
      </c>
      <c r="AE64" s="7" t="e">
        <f>Tabelle156[[#This Row],[Standardabweichung 3]]/Tabelle156[[#This Row],[Mean Visc. 3 '[mPas']3]]</f>
        <v>#DIV/0!</v>
      </c>
      <c r="AG64" s="7" t="e">
        <f>1-Tabelle1563[[#This Row],[Mean Visc. 1 '[mPas']]]/#REF!</f>
        <v>#REF!</v>
      </c>
    </row>
    <row r="65" spans="1:35" s="7" customFormat="1" x14ac:dyDescent="0.3">
      <c r="A65">
        <v>64</v>
      </c>
      <c r="B65" s="4"/>
      <c r="C65" s="5"/>
      <c r="D65" s="7">
        <v>3</v>
      </c>
      <c r="E65" t="s">
        <v>169</v>
      </c>
      <c r="F65"/>
      <c r="G65" s="7" t="s">
        <v>161</v>
      </c>
      <c r="H65" s="11" t="s">
        <v>160</v>
      </c>
      <c r="I65" s="9" t="s">
        <v>12</v>
      </c>
      <c r="J65" s="7">
        <v>25.3</v>
      </c>
      <c r="K65" s="7">
        <v>10</v>
      </c>
      <c r="L65" s="7">
        <v>30.64</v>
      </c>
      <c r="M65" s="7">
        <v>384</v>
      </c>
      <c r="N65" s="7">
        <f>Tabelle1563[[#This Row],[Anzahl Frames]]/Tabelle1563[[#This Row],[Aufnahmezeit '[s']]]</f>
        <v>12.532637075718016</v>
      </c>
      <c r="O65" s="7">
        <f>1/Tabelle1563[[#This Row],[Mean fps ]]</f>
        <v>7.9791666666666664E-2</v>
      </c>
      <c r="P65" s="7">
        <v>40</v>
      </c>
      <c r="Q65" s="3"/>
      <c r="R65" s="11"/>
      <c r="S65" s="7">
        <v>1.171</v>
      </c>
      <c r="T65" s="7">
        <v>0.88600000000000001</v>
      </c>
      <c r="U65" s="7">
        <v>1.5429999999999999</v>
      </c>
      <c r="Z65" s="7" t="e" cm="1">
        <f t="array" ref="Z65">STABW</f>
        <v>#NAME?</v>
      </c>
      <c r="AC65" s="7" t="e">
        <f>Tabelle1563[[#This Row],[Standardabweichung 1]]/Tabelle1563[[#This Row],[Mean Visc. 1 '[mPas']]]</f>
        <v>#NAME?</v>
      </c>
      <c r="AD65" s="7" t="e">
        <f>Tabelle156[[#This Row],[Standardabweichung 2]]/Tabelle156[[#This Row],[Mean Visc. 2 '[mPas']2]]</f>
        <v>#DIV/0!</v>
      </c>
      <c r="AE65" s="7" t="e">
        <f>Tabelle156[[#This Row],[Standardabweichung 3]]/Tabelle156[[#This Row],[Mean Visc. 3 '[mPas']3]]</f>
        <v>#DIV/0!</v>
      </c>
      <c r="AG65" s="7" t="e">
        <f>1-Tabelle1563[[#This Row],[Mean Visc. 1 '[mPas']]]/#REF!</f>
        <v>#REF!</v>
      </c>
    </row>
    <row r="66" spans="1:35" s="17" customFormat="1" ht="15" thickBot="1" x14ac:dyDescent="0.35">
      <c r="A66">
        <v>65</v>
      </c>
      <c r="B66" s="15"/>
      <c r="C66" s="16"/>
      <c r="D66" s="7">
        <v>3</v>
      </c>
      <c r="E66" t="s">
        <v>169</v>
      </c>
      <c r="F66"/>
      <c r="G66" s="7" t="s">
        <v>161</v>
      </c>
      <c r="H66" s="21" t="s">
        <v>160</v>
      </c>
      <c r="I66" s="9" t="s">
        <v>12</v>
      </c>
      <c r="J66" s="17">
        <v>25.3</v>
      </c>
      <c r="K66" s="17">
        <v>10</v>
      </c>
      <c r="L66" s="17">
        <v>30.8</v>
      </c>
      <c r="M66" s="17">
        <v>385</v>
      </c>
      <c r="N66" s="7">
        <f>Tabelle1563[[#This Row],[Anzahl Frames]]/Tabelle1563[[#This Row],[Aufnahmezeit '[s']]]</f>
        <v>12.5</v>
      </c>
      <c r="O66" s="7">
        <f>1/Tabelle1563[[#This Row],[Mean fps ]]</f>
        <v>0.08</v>
      </c>
      <c r="P66" s="17">
        <v>40</v>
      </c>
      <c r="Q66" s="20"/>
      <c r="R66" s="21"/>
      <c r="S66" s="17">
        <v>1.22</v>
      </c>
      <c r="T66" s="17">
        <v>1.024</v>
      </c>
      <c r="U66" s="17">
        <v>1.6679999999999999</v>
      </c>
      <c r="V66" s="7"/>
      <c r="W66" s="7"/>
      <c r="X66" s="7"/>
      <c r="Y66" s="7"/>
      <c r="Z66" s="7" t="e" cm="1">
        <f t="array" ref="Z66">STABW</f>
        <v>#NAME?</v>
      </c>
      <c r="AA66" s="7"/>
      <c r="AB66" s="7"/>
      <c r="AC66" s="7" t="e">
        <f>Tabelle1563[[#This Row],[Standardabweichung 1]]/Tabelle1563[[#This Row],[Mean Visc. 1 '[mPas']]]</f>
        <v>#NAME?</v>
      </c>
      <c r="AD66" s="7" t="e">
        <f>Tabelle156[[#This Row],[Standardabweichung 2]]/Tabelle156[[#This Row],[Mean Visc. 2 '[mPas']2]]</f>
        <v>#DIV/0!</v>
      </c>
      <c r="AE66" s="7" t="e">
        <f>Tabelle156[[#This Row],[Standardabweichung 3]]/Tabelle156[[#This Row],[Mean Visc. 3 '[mPas']3]]</f>
        <v>#DIV/0!</v>
      </c>
      <c r="AF66" s="7"/>
      <c r="AG66" s="7" t="e">
        <f>1-Tabelle1563[[#This Row],[Mean Visc. 1 '[mPas']]]/#REF!</f>
        <v>#REF!</v>
      </c>
      <c r="AH66" s="7"/>
      <c r="AI66" s="7"/>
    </row>
    <row r="67" spans="1:35" s="7" customFormat="1" ht="15" thickTop="1" x14ac:dyDescent="0.3">
      <c r="A67">
        <v>66</v>
      </c>
      <c r="B67" s="4"/>
      <c r="C67" s="5"/>
      <c r="D67" s="7">
        <v>3</v>
      </c>
      <c r="E67" t="s">
        <v>169</v>
      </c>
      <c r="F67"/>
      <c r="G67" s="7" t="s">
        <v>161</v>
      </c>
      <c r="H67" s="11" t="s">
        <v>160</v>
      </c>
      <c r="I67" s="9" t="s">
        <v>12</v>
      </c>
      <c r="J67" s="7">
        <v>25.3</v>
      </c>
      <c r="K67" s="7">
        <v>10</v>
      </c>
      <c r="L67" s="7">
        <v>30.64</v>
      </c>
      <c r="M67" s="7">
        <v>383</v>
      </c>
      <c r="N67" s="7">
        <f>Tabelle1563[[#This Row],[Anzahl Frames]]/Tabelle1563[[#This Row],[Aufnahmezeit '[s']]]</f>
        <v>12.5</v>
      </c>
      <c r="O67" s="7">
        <f>1/Tabelle1563[[#This Row],[Mean fps ]]</f>
        <v>0.08</v>
      </c>
      <c r="P67" s="7">
        <v>40</v>
      </c>
      <c r="Q67" s="3"/>
      <c r="R67" s="11"/>
      <c r="S67" s="7">
        <v>1.137</v>
      </c>
      <c r="T67" s="7">
        <v>0.86499999999999999</v>
      </c>
      <c r="U67" s="7">
        <v>1.5880000000000001</v>
      </c>
      <c r="Z67" s="7" t="e" cm="1">
        <f t="array" ref="Z67">STABW</f>
        <v>#NAME?</v>
      </c>
      <c r="AC67" s="7" t="e">
        <f>Tabelle1563[[#This Row],[Standardabweichung 1]]/Tabelle1563[[#This Row],[Mean Visc. 1 '[mPas']]]</f>
        <v>#NAME?</v>
      </c>
      <c r="AD67" s="7" t="e">
        <f>Tabelle156[[#This Row],[Standardabweichung 2]]/Tabelle156[[#This Row],[Mean Visc. 2 '[mPas']2]]</f>
        <v>#DIV/0!</v>
      </c>
      <c r="AE67" s="7" t="e">
        <f>Tabelle156[[#This Row],[Standardabweichung 3]]/Tabelle156[[#This Row],[Mean Visc. 3 '[mPas']3]]</f>
        <v>#DIV/0!</v>
      </c>
      <c r="AG67" s="7" t="e">
        <f>1-Tabelle1563[[#This Row],[Mean Visc. 1 '[mPas']]]/#REF!</f>
        <v>#REF!</v>
      </c>
    </row>
    <row r="68" spans="1:35" s="7" customFormat="1" x14ac:dyDescent="0.3">
      <c r="A68">
        <v>67</v>
      </c>
      <c r="B68" s="4"/>
      <c r="C68" s="5"/>
      <c r="D68" s="7">
        <v>3</v>
      </c>
      <c r="E68" t="s">
        <v>169</v>
      </c>
      <c r="F68"/>
      <c r="G68" s="7" t="s">
        <v>161</v>
      </c>
      <c r="H68" s="11" t="s">
        <v>160</v>
      </c>
      <c r="I68" s="9" t="s">
        <v>12</v>
      </c>
      <c r="J68" s="7">
        <v>25.4</v>
      </c>
      <c r="K68" s="7">
        <v>10</v>
      </c>
      <c r="L68" s="7">
        <v>30.4</v>
      </c>
      <c r="M68" s="7">
        <v>380</v>
      </c>
      <c r="N68" s="7">
        <f>Tabelle1563[[#This Row],[Anzahl Frames]]/Tabelle1563[[#This Row],[Aufnahmezeit '[s']]]</f>
        <v>12.5</v>
      </c>
      <c r="O68" s="7">
        <f>1/Tabelle1563[[#This Row],[Mean fps ]]</f>
        <v>0.08</v>
      </c>
      <c r="P68" s="7">
        <v>40</v>
      </c>
      <c r="Q68" s="3"/>
      <c r="R68" s="11"/>
      <c r="S68" s="7">
        <v>1.1679999999999999</v>
      </c>
      <c r="T68" s="7">
        <v>0.95499999999999996</v>
      </c>
      <c r="U68" s="7">
        <v>1.621</v>
      </c>
      <c r="Z68" s="7" t="e" cm="1">
        <f t="array" ref="Z68">STABW</f>
        <v>#NAME?</v>
      </c>
      <c r="AC68" s="7" t="e">
        <f>Tabelle1563[[#This Row],[Standardabweichung 1]]/Tabelle1563[[#This Row],[Mean Visc. 1 '[mPas']]]</f>
        <v>#NAME?</v>
      </c>
      <c r="AD68" s="7" t="e">
        <f>Tabelle156[[#This Row],[Standardabweichung 2]]/Tabelle156[[#This Row],[Mean Visc. 2 '[mPas']2]]</f>
        <v>#DIV/0!</v>
      </c>
      <c r="AE68" s="7" t="e">
        <f>Tabelle156[[#This Row],[Standardabweichung 3]]/Tabelle156[[#This Row],[Mean Visc. 3 '[mPas']3]]</f>
        <v>#DIV/0!</v>
      </c>
      <c r="AG68" s="7" t="e">
        <f>1-Tabelle1563[[#This Row],[Mean Visc. 1 '[mPas']]]/#REF!</f>
        <v>#REF!</v>
      </c>
    </row>
    <row r="69" spans="1:35" s="7" customFormat="1" x14ac:dyDescent="0.3">
      <c r="A69">
        <v>68</v>
      </c>
      <c r="B69" s="4"/>
      <c r="C69" s="5"/>
      <c r="D69" s="7">
        <v>3</v>
      </c>
      <c r="E69" t="s">
        <v>169</v>
      </c>
      <c r="F69"/>
      <c r="G69" s="7" t="s">
        <v>161</v>
      </c>
      <c r="H69" s="11" t="s">
        <v>160</v>
      </c>
      <c r="I69" s="9" t="s">
        <v>12</v>
      </c>
      <c r="J69" s="7">
        <v>25.4</v>
      </c>
      <c r="K69" s="7">
        <v>10</v>
      </c>
      <c r="L69" s="7">
        <v>30.56</v>
      </c>
      <c r="M69" s="7">
        <v>383</v>
      </c>
      <c r="N69" s="7">
        <f>Tabelle1563[[#This Row],[Anzahl Frames]]/Tabelle1563[[#This Row],[Aufnahmezeit '[s']]]</f>
        <v>12.532722513089006</v>
      </c>
      <c r="O69" s="7">
        <f>1/Tabelle1563[[#This Row],[Mean fps ]]</f>
        <v>7.97911227154047E-2</v>
      </c>
      <c r="P69" s="7">
        <v>40</v>
      </c>
      <c r="Q69" s="3"/>
      <c r="R69" s="11"/>
      <c r="S69" s="7">
        <v>1.1579999999999999</v>
      </c>
      <c r="T69" s="7">
        <v>0.97099999999999997</v>
      </c>
      <c r="U69" s="7">
        <v>1.629</v>
      </c>
      <c r="Z69" s="7" t="e" cm="1">
        <f t="array" ref="Z69">STABW</f>
        <v>#NAME?</v>
      </c>
      <c r="AC69" s="7" t="e">
        <f>Tabelle1563[[#This Row],[Standardabweichung 1]]/Tabelle1563[[#This Row],[Mean Visc. 1 '[mPas']]]</f>
        <v>#NAME?</v>
      </c>
      <c r="AD69" s="7" t="e">
        <f>Tabelle156[[#This Row],[Standardabweichung 2]]/Tabelle156[[#This Row],[Mean Visc. 2 '[mPas']2]]</f>
        <v>#DIV/0!</v>
      </c>
      <c r="AE69" s="7" t="e">
        <f>Tabelle156[[#This Row],[Standardabweichung 3]]/Tabelle156[[#This Row],[Mean Visc. 3 '[mPas']3]]</f>
        <v>#DIV/0!</v>
      </c>
      <c r="AG69" s="7" t="e">
        <f>1-Tabelle1563[[#This Row],[Mean Visc. 1 '[mPas']]]/#REF!</f>
        <v>#REF!</v>
      </c>
    </row>
    <row r="70" spans="1:35" s="7" customFormat="1" x14ac:dyDescent="0.3">
      <c r="A70">
        <v>69</v>
      </c>
      <c r="B70" s="4"/>
      <c r="C70" s="5"/>
      <c r="D70" s="7">
        <v>3</v>
      </c>
      <c r="E70" t="s">
        <v>169</v>
      </c>
      <c r="F70"/>
      <c r="G70" s="7" t="s">
        <v>161</v>
      </c>
      <c r="H70" s="11" t="s">
        <v>160</v>
      </c>
      <c r="I70" s="9" t="s">
        <v>12</v>
      </c>
      <c r="J70" s="7">
        <v>25.4</v>
      </c>
      <c r="K70" s="7">
        <v>10</v>
      </c>
      <c r="L70" s="7">
        <v>30.72</v>
      </c>
      <c r="M70" s="7">
        <v>385</v>
      </c>
      <c r="N70" s="7">
        <f>Tabelle1563[[#This Row],[Anzahl Frames]]/Tabelle1563[[#This Row],[Aufnahmezeit '[s']]]</f>
        <v>12.532552083333334</v>
      </c>
      <c r="O70" s="7">
        <f>1/Tabelle1563[[#This Row],[Mean fps ]]</f>
        <v>7.9792207792207789E-2</v>
      </c>
      <c r="P70" s="7">
        <v>40</v>
      </c>
      <c r="Q70" s="3"/>
      <c r="R70" s="11"/>
      <c r="S70" s="7">
        <v>1.1970000000000001</v>
      </c>
      <c r="T70" s="7">
        <v>0.99099999999999999</v>
      </c>
      <c r="U70" s="7">
        <v>1.6020000000000001</v>
      </c>
      <c r="Z70" s="7" t="e" cm="1">
        <f t="array" ref="Z70">STABW</f>
        <v>#NAME?</v>
      </c>
      <c r="AC70" s="7" t="e">
        <f>Tabelle1563[[#This Row],[Standardabweichung 1]]/Tabelle1563[[#This Row],[Mean Visc. 1 '[mPas']]]</f>
        <v>#NAME?</v>
      </c>
      <c r="AD70" s="7" t="e">
        <f>Tabelle156[[#This Row],[Standardabweichung 2]]/Tabelle156[[#This Row],[Mean Visc. 2 '[mPas']2]]</f>
        <v>#DIV/0!</v>
      </c>
      <c r="AE70" s="7" t="e">
        <f>Tabelle156[[#This Row],[Standardabweichung 3]]/Tabelle156[[#This Row],[Mean Visc. 3 '[mPas']3]]</f>
        <v>#DIV/0!</v>
      </c>
      <c r="AG70" s="7" t="e">
        <f>1-Tabelle1563[[#This Row],[Mean Visc. 1 '[mPas']]]/#REF!</f>
        <v>#REF!</v>
      </c>
    </row>
    <row r="71" spans="1:35" s="17" customFormat="1" ht="15" thickBot="1" x14ac:dyDescent="0.35">
      <c r="A71">
        <v>70</v>
      </c>
      <c r="B71" s="15"/>
      <c r="C71" s="16"/>
      <c r="D71" s="7">
        <v>3</v>
      </c>
      <c r="E71" s="14" t="s">
        <v>169</v>
      </c>
      <c r="F71" s="14"/>
      <c r="G71" s="17" t="s">
        <v>161</v>
      </c>
      <c r="H71" s="21" t="s">
        <v>160</v>
      </c>
      <c r="I71" s="19" t="s">
        <v>12</v>
      </c>
      <c r="J71" s="17">
        <v>25.4</v>
      </c>
      <c r="K71" s="17">
        <v>10</v>
      </c>
      <c r="L71" s="17">
        <v>31.28</v>
      </c>
      <c r="M71" s="17">
        <v>391</v>
      </c>
      <c r="N71" s="17">
        <f>Tabelle1563[[#This Row],[Anzahl Frames]]/Tabelle1563[[#This Row],[Aufnahmezeit '[s']]]</f>
        <v>12.5</v>
      </c>
      <c r="O71" s="17">
        <f>1/Tabelle1563[[#This Row],[Mean fps ]]</f>
        <v>0.08</v>
      </c>
      <c r="P71" s="17">
        <v>40</v>
      </c>
      <c r="Q71" s="20"/>
      <c r="R71" s="21"/>
      <c r="S71" s="17">
        <v>1.17</v>
      </c>
      <c r="T71" s="17">
        <v>0.98399999999999999</v>
      </c>
      <c r="U71" s="17">
        <v>1.6379999999999999</v>
      </c>
      <c r="W71" s="7">
        <f>SUM(S62:S71)/10</f>
        <v>1.1627999999999998</v>
      </c>
      <c r="X71" s="7">
        <f>SUM(T62:T71)/10</f>
        <v>0.94429999999999992</v>
      </c>
      <c r="Y71" s="7">
        <f t="shared" ref="Y71" si="22">SUM(U62:U71)/10</f>
        <v>1.6133000000000002</v>
      </c>
      <c r="Z71" s="17">
        <f>_xlfn.STDEV.S(S62:S71)</f>
        <v>3.3021205308104644E-2</v>
      </c>
      <c r="AA71" s="17">
        <f t="shared" ref="AA71" si="23">_xlfn.STDEV.S(T62:T71)</f>
        <v>5.0712807937333633E-2</v>
      </c>
      <c r="AB71" s="17">
        <f>_xlfn.STDEV.S(U62:U71)</f>
        <v>3.6141850164778951E-2</v>
      </c>
      <c r="AC71" s="17">
        <f>Tabelle1563[[#This Row],[Standardabweichung 1]]/Tabelle1563[[#This Row],[Mean Visc. 1 '[mPas']]]</f>
        <v>2.8398009380894949E-2</v>
      </c>
      <c r="AD71" s="17">
        <f>Tabelle1563[[#This Row],[Standardabweichung 2]]/Tabelle1563[[#This Row],[Mean Visc. 2 '[mPas']2]]</f>
        <v>5.3704127859084655E-2</v>
      </c>
      <c r="AE71" s="17">
        <f>Tabelle1563[[#This Row],[Standardabweichung 3]]/Tabelle1563[[#This Row],[Mean Visc. 3 '[mPas']3]]</f>
        <v>2.2402436102881639E-2</v>
      </c>
      <c r="AG71" s="17" t="e">
        <f>1-Tabelle1563[[#This Row],[Mean Visc. 1 '[mPas']]]/#REF!</f>
        <v>#REF!</v>
      </c>
    </row>
    <row r="72" spans="1:35" s="7" customFormat="1" ht="15" thickTop="1" x14ac:dyDescent="0.3">
      <c r="A72">
        <v>71</v>
      </c>
      <c r="B72" s="4"/>
      <c r="C72" s="5"/>
      <c r="D72" s="7">
        <v>3</v>
      </c>
      <c r="E72" t="s">
        <v>169</v>
      </c>
      <c r="F72"/>
      <c r="G72" s="7" t="s">
        <v>161</v>
      </c>
      <c r="H72" s="11" t="s">
        <v>163</v>
      </c>
      <c r="I72" s="9" t="s">
        <v>12</v>
      </c>
      <c r="J72" s="7">
        <v>23.5</v>
      </c>
      <c r="K72" s="7">
        <v>10</v>
      </c>
      <c r="L72" s="7">
        <v>29.44</v>
      </c>
      <c r="M72" s="7">
        <v>369</v>
      </c>
      <c r="N72" s="7">
        <f>Tabelle1563[[#This Row],[Anzahl Frames]]/Tabelle1563[[#This Row],[Aufnahmezeit '[s']]]</f>
        <v>12.533967391304348</v>
      </c>
      <c r="O72" s="7">
        <f>1/Tabelle1563[[#This Row],[Mean fps ]]</f>
        <v>7.978319783197832E-2</v>
      </c>
      <c r="P72" s="7">
        <v>40</v>
      </c>
      <c r="Q72" s="3"/>
      <c r="R72" s="11"/>
      <c r="S72" s="7">
        <v>1.597</v>
      </c>
      <c r="T72" s="7">
        <v>1.351</v>
      </c>
      <c r="U72" s="7">
        <v>1.9970000000000001</v>
      </c>
      <c r="Z72" s="7" t="e" cm="1">
        <f t="array" ref="Z72">STABW</f>
        <v>#NAME?</v>
      </c>
      <c r="AC72" s="7" t="e">
        <f>Tabelle1563[[#This Row],[Standardabweichung 1]]/Tabelle1563[[#This Row],[Mean Visc. 1 '[mPas']]]</f>
        <v>#NAME?</v>
      </c>
      <c r="AD72" s="7" t="e">
        <f>Tabelle156[[#This Row],[Standardabweichung 2]]/Tabelle156[[#This Row],[Mean Visc. 2 '[mPas']2]]</f>
        <v>#VALUE!</v>
      </c>
      <c r="AE72" s="7" t="e">
        <f>Tabelle156[[#This Row],[Standardabweichung 3]]/Tabelle156[[#This Row],[Mean Visc. 3 '[mPas']3]]</f>
        <v>#VALUE!</v>
      </c>
      <c r="AG72" s="7" t="e">
        <f>1-Tabelle1563[[#This Row],[Mean Visc. 1 '[mPas']]]/#REF!</f>
        <v>#REF!</v>
      </c>
    </row>
    <row r="73" spans="1:35" s="7" customFormat="1" x14ac:dyDescent="0.3">
      <c r="A73">
        <v>72</v>
      </c>
      <c r="B73" s="4"/>
      <c r="C73" s="5"/>
      <c r="D73" s="7">
        <v>3</v>
      </c>
      <c r="E73" t="s">
        <v>169</v>
      </c>
      <c r="F73"/>
      <c r="G73" s="7" t="s">
        <v>161</v>
      </c>
      <c r="H73" s="11" t="s">
        <v>163</v>
      </c>
      <c r="I73" s="9" t="s">
        <v>12</v>
      </c>
      <c r="J73" s="7">
        <v>23.5</v>
      </c>
      <c r="K73" s="7">
        <v>10</v>
      </c>
      <c r="L73" s="7">
        <v>30.48</v>
      </c>
      <c r="M73" s="7">
        <v>381</v>
      </c>
      <c r="N73" s="7">
        <f>Tabelle1563[[#This Row],[Anzahl Frames]]/Tabelle1563[[#This Row],[Aufnahmezeit '[s']]]</f>
        <v>12.5</v>
      </c>
      <c r="O73" s="7">
        <f>1/Tabelle1563[[#This Row],[Mean fps ]]</f>
        <v>0.08</v>
      </c>
      <c r="P73" s="7">
        <v>40</v>
      </c>
      <c r="Q73" s="3"/>
      <c r="R73" s="11"/>
      <c r="S73" s="7">
        <v>1.536</v>
      </c>
      <c r="T73" s="7">
        <v>1.2729999999999999</v>
      </c>
      <c r="U73" s="7">
        <v>1.9370000000000001</v>
      </c>
      <c r="Z73" s="7" t="e" cm="1">
        <f t="array" ref="Z73">STABW</f>
        <v>#NAME?</v>
      </c>
      <c r="AC73" s="7" t="e">
        <f>Tabelle1563[[#This Row],[Standardabweichung 1]]/Tabelle1563[[#This Row],[Mean Visc. 1 '[mPas']]]</f>
        <v>#NAME?</v>
      </c>
      <c r="AD73" s="7" t="e">
        <f>Tabelle156[[#This Row],[Standardabweichung 2]]/Tabelle156[[#This Row],[Mean Visc. 2 '[mPas']2]]</f>
        <v>#VALUE!</v>
      </c>
      <c r="AE73" s="7" t="e">
        <f>Tabelle156[[#This Row],[Standardabweichung 3]]/Tabelle156[[#This Row],[Mean Visc. 3 '[mPas']3]]</f>
        <v>#VALUE!</v>
      </c>
      <c r="AG73" s="7" t="e">
        <f>1-Tabelle1563[[#This Row],[Mean Visc. 1 '[mPas']]]/#REF!</f>
        <v>#REF!</v>
      </c>
    </row>
    <row r="74" spans="1:35" s="7" customFormat="1" x14ac:dyDescent="0.3">
      <c r="A74">
        <v>73</v>
      </c>
      <c r="B74" s="4"/>
      <c r="C74" s="5"/>
      <c r="D74" s="7">
        <v>3</v>
      </c>
      <c r="E74" t="s">
        <v>169</v>
      </c>
      <c r="F74"/>
      <c r="G74" s="7" t="s">
        <v>161</v>
      </c>
      <c r="H74" s="11" t="s">
        <v>163</v>
      </c>
      <c r="I74" s="9" t="s">
        <v>12</v>
      </c>
      <c r="J74" s="7">
        <v>23.6</v>
      </c>
      <c r="K74" s="7">
        <v>10</v>
      </c>
      <c r="L74" s="7">
        <v>31.52</v>
      </c>
      <c r="M74" s="7">
        <v>394</v>
      </c>
      <c r="N74" s="7">
        <f>Tabelle1563[[#This Row],[Anzahl Frames]]/Tabelle1563[[#This Row],[Aufnahmezeit '[s']]]</f>
        <v>12.5</v>
      </c>
      <c r="O74" s="7">
        <f>1/Tabelle1563[[#This Row],[Mean fps ]]</f>
        <v>0.08</v>
      </c>
      <c r="P74" s="7">
        <v>40</v>
      </c>
      <c r="Q74" s="3"/>
      <c r="R74" s="11"/>
      <c r="S74" s="7">
        <v>1.593</v>
      </c>
      <c r="T74" s="7">
        <v>1.44</v>
      </c>
      <c r="U74" s="7">
        <v>1.873</v>
      </c>
      <c r="Z74" s="7" t="e" cm="1">
        <f t="array" ref="Z74">STABW</f>
        <v>#NAME?</v>
      </c>
      <c r="AC74" s="7" t="e">
        <f>Tabelle1563[[#This Row],[Standardabweichung 1]]/Tabelle1563[[#This Row],[Mean Visc. 1 '[mPas']]]</f>
        <v>#NAME?</v>
      </c>
      <c r="AD74" s="7" t="e">
        <f>Tabelle156[[#This Row],[Standardabweichung 2]]/Tabelle156[[#This Row],[Mean Visc. 2 '[mPas']2]]</f>
        <v>#VALUE!</v>
      </c>
      <c r="AE74" s="7" t="e">
        <f>Tabelle156[[#This Row],[Standardabweichung 3]]/Tabelle156[[#This Row],[Mean Visc. 3 '[mPas']3]]</f>
        <v>#VALUE!</v>
      </c>
      <c r="AG74" s="7" t="e">
        <f>1-Tabelle1563[[#This Row],[Mean Visc. 1 '[mPas']]]/#REF!</f>
        <v>#REF!</v>
      </c>
    </row>
    <row r="75" spans="1:35" s="7" customFormat="1" x14ac:dyDescent="0.3">
      <c r="A75">
        <v>74</v>
      </c>
      <c r="B75" s="4"/>
      <c r="C75" s="5"/>
      <c r="D75" s="7">
        <v>3</v>
      </c>
      <c r="E75" t="s">
        <v>169</v>
      </c>
      <c r="F75"/>
      <c r="G75" s="7" t="s">
        <v>161</v>
      </c>
      <c r="H75" s="11" t="s">
        <v>163</v>
      </c>
      <c r="I75" s="9" t="s">
        <v>12</v>
      </c>
      <c r="J75" s="7">
        <v>23.6</v>
      </c>
      <c r="K75" s="7">
        <v>10</v>
      </c>
      <c r="L75" s="7">
        <v>30.8</v>
      </c>
      <c r="M75" s="7">
        <v>385</v>
      </c>
      <c r="N75" s="7">
        <f>Tabelle1563[[#This Row],[Anzahl Frames]]/Tabelle1563[[#This Row],[Aufnahmezeit '[s']]]</f>
        <v>12.5</v>
      </c>
      <c r="O75" s="7">
        <f>1/Tabelle1563[[#This Row],[Mean fps ]]</f>
        <v>0.08</v>
      </c>
      <c r="P75" s="7">
        <v>40</v>
      </c>
      <c r="Q75" s="3"/>
      <c r="R75" s="11"/>
      <c r="S75" s="7">
        <v>1.54</v>
      </c>
      <c r="T75" s="7">
        <v>1.3640000000000001</v>
      </c>
      <c r="U75" s="7">
        <v>1.839</v>
      </c>
      <c r="Z75" s="7" t="e" cm="1">
        <f t="array" ref="Z75">STABW</f>
        <v>#NAME?</v>
      </c>
      <c r="AC75" s="7" t="e">
        <f>Tabelle1563[[#This Row],[Standardabweichung 1]]/Tabelle1563[[#This Row],[Mean Visc. 1 '[mPas']]]</f>
        <v>#NAME?</v>
      </c>
      <c r="AD75" s="7" t="e">
        <f>Tabelle156[[#This Row],[Standardabweichung 2]]/Tabelle156[[#This Row],[Mean Visc. 2 '[mPas']2]]</f>
        <v>#VALUE!</v>
      </c>
      <c r="AE75" s="7" t="e">
        <f>Tabelle156[[#This Row],[Standardabweichung 3]]/Tabelle156[[#This Row],[Mean Visc. 3 '[mPas']3]]</f>
        <v>#VALUE!</v>
      </c>
      <c r="AG75" s="7" t="e">
        <f>1-Tabelle1563[[#This Row],[Mean Visc. 1 '[mPas']]]/#REF!</f>
        <v>#REF!</v>
      </c>
    </row>
    <row r="76" spans="1:35" s="17" customFormat="1" ht="15" thickBot="1" x14ac:dyDescent="0.35">
      <c r="A76">
        <v>75</v>
      </c>
      <c r="B76" s="15"/>
      <c r="C76" s="16"/>
      <c r="D76" s="7">
        <v>3</v>
      </c>
      <c r="E76" s="14" t="s">
        <v>169</v>
      </c>
      <c r="F76" s="14"/>
      <c r="G76" s="17" t="s">
        <v>161</v>
      </c>
      <c r="H76" s="21" t="s">
        <v>163</v>
      </c>
      <c r="I76" s="19" t="s">
        <v>12</v>
      </c>
      <c r="J76" s="17">
        <v>23.7</v>
      </c>
      <c r="K76" s="17">
        <v>10</v>
      </c>
      <c r="L76" s="17">
        <v>30.72</v>
      </c>
      <c r="M76" s="17">
        <v>385</v>
      </c>
      <c r="N76" s="17">
        <f>Tabelle1563[[#This Row],[Anzahl Frames]]/Tabelle1563[[#This Row],[Aufnahmezeit '[s']]]</f>
        <v>12.532552083333334</v>
      </c>
      <c r="O76" s="17">
        <f>1/Tabelle1563[[#This Row],[Mean fps ]]</f>
        <v>7.9792207792207789E-2</v>
      </c>
      <c r="P76" s="17">
        <v>40</v>
      </c>
      <c r="Q76" s="20"/>
      <c r="R76" s="21"/>
      <c r="S76" s="17">
        <v>1.5589999999999999</v>
      </c>
      <c r="T76" s="17">
        <v>1.323</v>
      </c>
      <c r="U76" s="17">
        <v>1.9790000000000001</v>
      </c>
      <c r="Z76" s="17" t="e" cm="1">
        <f t="array" ref="Z76">STABW</f>
        <v>#NAME?</v>
      </c>
      <c r="AC76" s="17" t="e">
        <f>Tabelle1563[[#This Row],[Standardabweichung 1]]/Tabelle1563[[#This Row],[Mean Visc. 1 '[mPas']]]</f>
        <v>#NAME?</v>
      </c>
      <c r="AD76" s="17" t="e">
        <f>Tabelle156[[#This Row],[Standardabweichung 2]]/Tabelle156[[#This Row],[Mean Visc. 2 '[mPas']2]]</f>
        <v>#VALUE!</v>
      </c>
      <c r="AE76" s="17" t="e">
        <f>Tabelle156[[#This Row],[Standardabweichung 3]]/Tabelle156[[#This Row],[Mean Visc. 3 '[mPas']3]]</f>
        <v>#VALUE!</v>
      </c>
      <c r="AG76" s="17" t="e">
        <f>1-Tabelle1563[[#This Row],[Mean Visc. 1 '[mPas']]]/#REF!</f>
        <v>#REF!</v>
      </c>
    </row>
    <row r="77" spans="1:35" s="7" customFormat="1" ht="15" thickTop="1" x14ac:dyDescent="0.3">
      <c r="A77">
        <v>76</v>
      </c>
      <c r="B77" s="4"/>
      <c r="C77" s="5"/>
      <c r="D77" s="7">
        <v>3</v>
      </c>
      <c r="E77" t="s">
        <v>169</v>
      </c>
      <c r="F77"/>
      <c r="G77" s="7" t="s">
        <v>161</v>
      </c>
      <c r="H77" s="11" t="s">
        <v>163</v>
      </c>
      <c r="I77" s="9" t="s">
        <v>12</v>
      </c>
      <c r="J77" s="7">
        <v>23.8</v>
      </c>
      <c r="K77" s="7">
        <v>10</v>
      </c>
      <c r="L77" s="7">
        <v>31.99</v>
      </c>
      <c r="M77" s="7">
        <v>400</v>
      </c>
      <c r="N77" s="7">
        <f>Tabelle1563[[#This Row],[Anzahl Frames]]/Tabelle1563[[#This Row],[Aufnahmezeit '[s']]]</f>
        <v>12.503907471084714</v>
      </c>
      <c r="O77" s="7">
        <f>1/Tabelle1563[[#This Row],[Mean fps ]]</f>
        <v>7.9975000000000004E-2</v>
      </c>
      <c r="P77" s="7">
        <v>40</v>
      </c>
      <c r="Q77" s="3"/>
      <c r="R77" s="11"/>
      <c r="S77" s="7">
        <v>1.54</v>
      </c>
      <c r="T77" s="7">
        <v>1.331</v>
      </c>
      <c r="U77" s="7">
        <v>1.99</v>
      </c>
      <c r="Z77" s="7" t="e" cm="1">
        <f t="array" ref="Z77">STABW</f>
        <v>#NAME?</v>
      </c>
      <c r="AC77" s="7" t="e">
        <f>Tabelle1563[[#This Row],[Standardabweichung 1]]/Tabelle1563[[#This Row],[Mean Visc. 1 '[mPas']]]</f>
        <v>#NAME?</v>
      </c>
      <c r="AD77" s="7" t="e">
        <f>Tabelle156[[#This Row],[Standardabweichung 2]]/Tabelle156[[#This Row],[Mean Visc. 2 '[mPas']2]]</f>
        <v>#VALUE!</v>
      </c>
      <c r="AE77" s="7" t="e">
        <f>Tabelle156[[#This Row],[Standardabweichung 3]]/Tabelle156[[#This Row],[Mean Visc. 3 '[mPas']3]]</f>
        <v>#VALUE!</v>
      </c>
      <c r="AG77" s="7" t="e">
        <f>1-Tabelle1563[[#This Row],[Mean Visc. 1 '[mPas']]]/#REF!</f>
        <v>#REF!</v>
      </c>
    </row>
    <row r="78" spans="1:35" s="7" customFormat="1" x14ac:dyDescent="0.3">
      <c r="A78">
        <v>77</v>
      </c>
      <c r="B78" s="4"/>
      <c r="C78" s="5"/>
      <c r="D78" s="7">
        <v>3</v>
      </c>
      <c r="E78" t="s">
        <v>169</v>
      </c>
      <c r="F78"/>
      <c r="G78" s="7" t="s">
        <v>161</v>
      </c>
      <c r="H78" s="11" t="s">
        <v>163</v>
      </c>
      <c r="I78" s="9" t="s">
        <v>12</v>
      </c>
      <c r="J78" s="7">
        <v>24</v>
      </c>
      <c r="K78" s="7">
        <v>10</v>
      </c>
      <c r="L78" s="7">
        <v>31.28</v>
      </c>
      <c r="M78" s="7">
        <v>391</v>
      </c>
      <c r="N78" s="7">
        <f>Tabelle1563[[#This Row],[Anzahl Frames]]/Tabelle1563[[#This Row],[Aufnahmezeit '[s']]]</f>
        <v>12.5</v>
      </c>
      <c r="O78" s="7">
        <f>1/Tabelle1563[[#This Row],[Mean fps ]]</f>
        <v>0.08</v>
      </c>
      <c r="P78" s="7">
        <v>40</v>
      </c>
      <c r="Q78" s="3"/>
      <c r="R78" s="11"/>
      <c r="S78" s="7">
        <v>1.569</v>
      </c>
      <c r="T78" s="7">
        <v>1.306</v>
      </c>
      <c r="U78" s="7">
        <v>1.9850000000000001</v>
      </c>
      <c r="Z78" s="7" t="e" cm="1">
        <f t="array" ref="Z78">STABW</f>
        <v>#NAME?</v>
      </c>
      <c r="AC78" s="7" t="e">
        <f>Tabelle1563[[#This Row],[Standardabweichung 1]]/Tabelle1563[[#This Row],[Mean Visc. 1 '[mPas']]]</f>
        <v>#NAME?</v>
      </c>
      <c r="AD78" s="7" t="e">
        <f>Tabelle156[[#This Row],[Standardabweichung 2]]/Tabelle156[[#This Row],[Mean Visc. 2 '[mPas']2]]</f>
        <v>#VALUE!</v>
      </c>
      <c r="AE78" s="7" t="e">
        <f>Tabelle156[[#This Row],[Standardabweichung 3]]/Tabelle156[[#This Row],[Mean Visc. 3 '[mPas']3]]</f>
        <v>#VALUE!</v>
      </c>
      <c r="AG78" s="7" t="e">
        <f>1-Tabelle1563[[#This Row],[Mean Visc. 1 '[mPas']]]/#REF!</f>
        <v>#REF!</v>
      </c>
    </row>
    <row r="79" spans="1:35" s="7" customFormat="1" x14ac:dyDescent="0.3">
      <c r="A79">
        <v>78</v>
      </c>
      <c r="B79" s="4"/>
      <c r="C79" s="5"/>
      <c r="D79" s="7">
        <v>3</v>
      </c>
      <c r="E79" t="s">
        <v>169</v>
      </c>
      <c r="F79"/>
      <c r="G79" s="7" t="s">
        <v>161</v>
      </c>
      <c r="H79" s="11" t="s">
        <v>163</v>
      </c>
      <c r="I79" s="9" t="s">
        <v>12</v>
      </c>
      <c r="J79" s="7">
        <v>24</v>
      </c>
      <c r="K79" s="7">
        <v>10</v>
      </c>
      <c r="L79" s="7">
        <v>33.69</v>
      </c>
      <c r="M79" s="7">
        <v>421</v>
      </c>
      <c r="N79" s="7">
        <f>Tabelle1563[[#This Row],[Anzahl Frames]]/Tabelle1563[[#This Row],[Aufnahmezeit '[s']]]</f>
        <v>12.496289700207777</v>
      </c>
      <c r="O79" s="7">
        <f>1/Tabelle1563[[#This Row],[Mean fps ]]</f>
        <v>8.0023752969121134E-2</v>
      </c>
      <c r="P79" s="7">
        <v>40</v>
      </c>
      <c r="Q79" s="3"/>
      <c r="R79" s="11"/>
      <c r="S79" s="7">
        <v>1.5069999999999999</v>
      </c>
      <c r="T79" s="7">
        <v>1.321</v>
      </c>
      <c r="U79" s="7">
        <v>1.9059999999999999</v>
      </c>
      <c r="Z79" s="7" t="e" cm="1">
        <f t="array" ref="Z79">STABW</f>
        <v>#NAME?</v>
      </c>
      <c r="AC79" s="7" t="e">
        <f>Tabelle1563[[#This Row],[Standardabweichung 1]]/Tabelle1563[[#This Row],[Mean Visc. 1 '[mPas']]]</f>
        <v>#NAME?</v>
      </c>
      <c r="AD79" s="7" t="e">
        <f>Tabelle156[[#This Row],[Standardabweichung 2]]/Tabelle156[[#This Row],[Mean Visc. 2 '[mPas']2]]</f>
        <v>#VALUE!</v>
      </c>
      <c r="AE79" s="7" t="e">
        <f>Tabelle156[[#This Row],[Standardabweichung 3]]/Tabelle156[[#This Row],[Mean Visc. 3 '[mPas']3]]</f>
        <v>#VALUE!</v>
      </c>
      <c r="AG79" s="7" t="e">
        <f>1-Tabelle1563[[#This Row],[Mean Visc. 1 '[mPas']]]/#REF!</f>
        <v>#REF!</v>
      </c>
    </row>
    <row r="80" spans="1:35" s="7" customFormat="1" x14ac:dyDescent="0.3">
      <c r="A80">
        <v>79</v>
      </c>
      <c r="B80" s="4"/>
      <c r="C80" s="5"/>
      <c r="D80" s="7">
        <v>3</v>
      </c>
      <c r="E80" t="s">
        <v>169</v>
      </c>
      <c r="F80"/>
      <c r="G80" s="7" t="s">
        <v>161</v>
      </c>
      <c r="H80" s="11" t="s">
        <v>163</v>
      </c>
      <c r="I80" s="9" t="s">
        <v>12</v>
      </c>
      <c r="J80" s="7">
        <v>24.1</v>
      </c>
      <c r="K80" s="7">
        <v>10</v>
      </c>
      <c r="L80" s="7">
        <v>30.88</v>
      </c>
      <c r="M80" s="7">
        <v>386</v>
      </c>
      <c r="N80" s="7">
        <f>Tabelle1563[[#This Row],[Anzahl Frames]]/Tabelle1563[[#This Row],[Aufnahmezeit '[s']]]</f>
        <v>12.5</v>
      </c>
      <c r="O80" s="7">
        <f>1/Tabelle1563[[#This Row],[Mean fps ]]</f>
        <v>0.08</v>
      </c>
      <c r="P80" s="7">
        <v>40</v>
      </c>
      <c r="Q80" s="3"/>
      <c r="R80" s="11"/>
      <c r="S80" s="7">
        <v>1.613</v>
      </c>
      <c r="T80" s="7">
        <v>1.4630000000000001</v>
      </c>
      <c r="U80" s="7">
        <v>1.974</v>
      </c>
      <c r="Z80" s="7" t="e" cm="1">
        <f t="array" ref="Z80">STABW</f>
        <v>#NAME?</v>
      </c>
      <c r="AC80" s="7" t="e">
        <f>Tabelle1563[[#This Row],[Standardabweichung 1]]/Tabelle1563[[#This Row],[Mean Visc. 1 '[mPas']]]</f>
        <v>#NAME?</v>
      </c>
      <c r="AD80" s="7" t="e">
        <f>Tabelle156[[#This Row],[Standardabweichung 2]]/Tabelle156[[#This Row],[Mean Visc. 2 '[mPas']2]]</f>
        <v>#VALUE!</v>
      </c>
      <c r="AE80" s="7" t="e">
        <f>Tabelle156[[#This Row],[Standardabweichung 3]]/Tabelle156[[#This Row],[Mean Visc. 3 '[mPas']3]]</f>
        <v>#VALUE!</v>
      </c>
      <c r="AG80" s="7" t="e">
        <f>1-Tabelle1563[[#This Row],[Mean Visc. 1 '[mPas']]]/#REF!</f>
        <v>#REF!</v>
      </c>
    </row>
    <row r="81" spans="1:33" s="17" customFormat="1" ht="15" thickBot="1" x14ac:dyDescent="0.35">
      <c r="A81">
        <v>80</v>
      </c>
      <c r="B81" s="15"/>
      <c r="C81" s="16"/>
      <c r="D81" s="7">
        <v>3</v>
      </c>
      <c r="E81" s="14" t="s">
        <v>169</v>
      </c>
      <c r="F81" s="14"/>
      <c r="G81" s="17" t="s">
        <v>161</v>
      </c>
      <c r="H81" s="21" t="s">
        <v>163</v>
      </c>
      <c r="I81" s="19" t="s">
        <v>12</v>
      </c>
      <c r="J81" s="17">
        <v>24.1</v>
      </c>
      <c r="K81" s="17">
        <v>10</v>
      </c>
      <c r="L81" s="17">
        <v>32.32</v>
      </c>
      <c r="M81" s="17">
        <v>404</v>
      </c>
      <c r="N81" s="17">
        <f>Tabelle1563[[#This Row],[Anzahl Frames]]/Tabelle1563[[#This Row],[Aufnahmezeit '[s']]]</f>
        <v>12.5</v>
      </c>
      <c r="O81" s="17">
        <f>1/Tabelle1563[[#This Row],[Mean fps ]]</f>
        <v>0.08</v>
      </c>
      <c r="P81" s="17">
        <v>40</v>
      </c>
      <c r="Q81" s="20"/>
      <c r="R81" s="21"/>
      <c r="S81" s="17">
        <v>1.359</v>
      </c>
      <c r="T81" s="17">
        <v>1.1040000000000001</v>
      </c>
      <c r="U81" s="17">
        <v>1.9750000000000001</v>
      </c>
      <c r="W81" s="22">
        <f>SUM(S72:S81)/10</f>
        <v>1.5413000000000001</v>
      </c>
      <c r="X81" s="7">
        <f>SUM(T72:T81)/10</f>
        <v>1.3275999999999997</v>
      </c>
      <c r="Y81" s="7">
        <f t="shared" ref="Y81" si="24">SUM(U72:U81)/10</f>
        <v>1.9455000000000002</v>
      </c>
      <c r="Z81" s="17">
        <f>_xlfn.STDEV.S(S72:S81)</f>
        <v>7.1831670514396984E-2</v>
      </c>
      <c r="AA81" s="17">
        <f t="shared" ref="AA81" si="25">_xlfn.STDEV.S(T72:T81)</f>
        <v>9.7957133481947081E-2</v>
      </c>
      <c r="AB81" s="17">
        <f>_xlfn.STDEV.S(U72:U81)</f>
        <v>5.5003535239917932E-2</v>
      </c>
      <c r="AC81" s="17">
        <f>Tabelle1563[[#This Row],[Standardabweichung 1]]/Tabelle1563[[#This Row],[Mean Visc. 1 '[mPas']]]</f>
        <v>4.6604600346718338E-2</v>
      </c>
      <c r="AD81" s="17">
        <f>Tabelle1563[[#This Row],[Standardabweichung 2]]/Tabelle1563[[#This Row],[Mean Visc. 2 '[mPas']2]]</f>
        <v>7.3785126153922201E-2</v>
      </c>
      <c r="AE81" s="17">
        <f>Tabelle1563[[#This Row],[Standardabweichung 3]]/Tabelle1563[[#This Row],[Mean Visc. 3 '[mPas']3]]</f>
        <v>2.8272184651718286E-2</v>
      </c>
      <c r="AG81" s="17" t="e">
        <f>1-Tabelle1563[[#This Row],[Mean Visc. 1 '[mPas']]]/#REF!</f>
        <v>#REF!</v>
      </c>
    </row>
    <row r="82" spans="1:33" s="7" customFormat="1" ht="15" thickTop="1" x14ac:dyDescent="0.3">
      <c r="A82">
        <v>81</v>
      </c>
      <c r="B82" s="4"/>
      <c r="C82" s="5"/>
      <c r="D82" s="7">
        <v>3</v>
      </c>
      <c r="E82" t="s">
        <v>169</v>
      </c>
      <c r="F82"/>
      <c r="G82" s="7" t="s">
        <v>161</v>
      </c>
      <c r="H82" s="11" t="s">
        <v>164</v>
      </c>
      <c r="I82" s="9" t="s">
        <v>12</v>
      </c>
      <c r="J82" s="7">
        <v>23.2</v>
      </c>
      <c r="K82" s="7">
        <v>10</v>
      </c>
      <c r="L82" s="7">
        <v>29.92</v>
      </c>
      <c r="M82" s="7">
        <v>374</v>
      </c>
      <c r="N82" s="7">
        <f>Tabelle1563[[#This Row],[Anzahl Frames]]/Tabelle1563[[#This Row],[Aufnahmezeit '[s']]]</f>
        <v>12.5</v>
      </c>
      <c r="O82" s="7">
        <f>1/Tabelle1563[[#This Row],[Mean fps ]]</f>
        <v>0.08</v>
      </c>
      <c r="P82" s="7">
        <v>40</v>
      </c>
      <c r="Q82" s="3"/>
      <c r="R82" s="11"/>
      <c r="S82" s="7">
        <v>1.593</v>
      </c>
      <c r="T82" s="7">
        <v>1.321</v>
      </c>
      <c r="U82" s="7">
        <v>1.992</v>
      </c>
      <c r="Z82" s="7" t="e" cm="1">
        <f t="array" ref="Z82">STABW</f>
        <v>#NAME?</v>
      </c>
      <c r="AC82" s="7" t="e">
        <f>Tabelle1563[[#This Row],[Standardabweichung 1]]/Tabelle1563[[#This Row],[Mean Visc. 1 '[mPas']]]</f>
        <v>#NAME?</v>
      </c>
      <c r="AD82" s="7" t="e">
        <f>Tabelle156[[#This Row],[Standardabweichung 2]]/Tabelle156[[#This Row],[Mean Visc. 2 '[mPas']2]]</f>
        <v>#VALUE!</v>
      </c>
      <c r="AE82" s="7" t="e">
        <f>Tabelle156[[#This Row],[Standardabweichung 3]]/Tabelle156[[#This Row],[Mean Visc. 3 '[mPas']3]]</f>
        <v>#VALUE!</v>
      </c>
      <c r="AG82" s="7" t="e">
        <f>1-Tabelle1563[[#This Row],[Mean Visc. 1 '[mPas']]]/#REF!</f>
        <v>#REF!</v>
      </c>
    </row>
    <row r="83" spans="1:33" s="7" customFormat="1" x14ac:dyDescent="0.3">
      <c r="A83">
        <v>82</v>
      </c>
      <c r="B83" s="4"/>
      <c r="C83" s="5"/>
      <c r="D83" s="7">
        <v>3</v>
      </c>
      <c r="E83" t="s">
        <v>169</v>
      </c>
      <c r="F83"/>
      <c r="G83" s="7" t="s">
        <v>161</v>
      </c>
      <c r="H83" s="11" t="s">
        <v>164</v>
      </c>
      <c r="I83" s="9" t="s">
        <v>12</v>
      </c>
      <c r="J83" s="7">
        <v>23.3</v>
      </c>
      <c r="K83" s="7">
        <v>10</v>
      </c>
      <c r="L83" s="7">
        <v>30.24</v>
      </c>
      <c r="M83" s="7">
        <v>378</v>
      </c>
      <c r="N83" s="7">
        <f>Tabelle1563[[#This Row],[Anzahl Frames]]/Tabelle1563[[#This Row],[Aufnahmezeit '[s']]]</f>
        <v>12.5</v>
      </c>
      <c r="O83" s="7">
        <f>1/Tabelle1563[[#This Row],[Mean fps ]]</f>
        <v>0.08</v>
      </c>
      <c r="P83" s="7">
        <v>40</v>
      </c>
      <c r="Q83" s="3"/>
      <c r="R83" s="11"/>
      <c r="S83" s="7">
        <v>1.5840000000000001</v>
      </c>
      <c r="T83" s="7">
        <v>1.2490000000000001</v>
      </c>
      <c r="U83" s="7">
        <v>1.9710000000000001</v>
      </c>
      <c r="Z83" s="7" t="e" cm="1">
        <f t="array" ref="Z83">STABW</f>
        <v>#NAME?</v>
      </c>
      <c r="AC83" s="7" t="e">
        <f>Tabelle1563[[#This Row],[Standardabweichung 1]]/Tabelle1563[[#This Row],[Mean Visc. 1 '[mPas']]]</f>
        <v>#NAME?</v>
      </c>
      <c r="AD83" s="7" t="e">
        <f>Tabelle156[[#This Row],[Standardabweichung 2]]/Tabelle156[[#This Row],[Mean Visc. 2 '[mPas']2]]</f>
        <v>#VALUE!</v>
      </c>
      <c r="AE83" s="7" t="e">
        <f>Tabelle156[[#This Row],[Standardabweichung 3]]/Tabelle156[[#This Row],[Mean Visc. 3 '[mPas']3]]</f>
        <v>#VALUE!</v>
      </c>
      <c r="AG83" s="7" t="e">
        <f>1-Tabelle1563[[#This Row],[Mean Visc. 1 '[mPas']]]/#REF!</f>
        <v>#REF!</v>
      </c>
    </row>
    <row r="84" spans="1:33" s="7" customFormat="1" x14ac:dyDescent="0.3">
      <c r="A84">
        <v>83</v>
      </c>
      <c r="B84" s="4"/>
      <c r="C84" s="5"/>
      <c r="D84" s="7">
        <v>3</v>
      </c>
      <c r="E84" t="s">
        <v>169</v>
      </c>
      <c r="F84"/>
      <c r="G84" s="7" t="s">
        <v>161</v>
      </c>
      <c r="H84" s="11" t="s">
        <v>164</v>
      </c>
      <c r="I84" s="9" t="s">
        <v>12</v>
      </c>
      <c r="J84" s="7">
        <v>23.4</v>
      </c>
      <c r="K84" s="7">
        <v>10</v>
      </c>
      <c r="L84" s="7">
        <v>30.24</v>
      </c>
      <c r="M84" s="7">
        <v>379</v>
      </c>
      <c r="N84" s="7">
        <f>Tabelle1563[[#This Row],[Anzahl Frames]]/Tabelle1563[[#This Row],[Aufnahmezeit '[s']]]</f>
        <v>12.533068783068783</v>
      </c>
      <c r="O84" s="7">
        <f>1/Tabelle1563[[#This Row],[Mean fps ]]</f>
        <v>7.9788918205804749E-2</v>
      </c>
      <c r="P84" s="7">
        <v>40</v>
      </c>
      <c r="Q84" s="3"/>
      <c r="R84" s="11"/>
      <c r="S84" s="7">
        <v>1.5409999999999999</v>
      </c>
      <c r="T84" s="7">
        <v>1.339</v>
      </c>
      <c r="U84" s="7">
        <v>2.0449999999999999</v>
      </c>
      <c r="Z84" s="7" t="e" cm="1">
        <f t="array" ref="Z84">STABW</f>
        <v>#NAME?</v>
      </c>
      <c r="AC84" s="7" t="e">
        <f>Tabelle1563[[#This Row],[Standardabweichung 1]]/Tabelle1563[[#This Row],[Mean Visc. 1 '[mPas']]]</f>
        <v>#NAME?</v>
      </c>
      <c r="AD84" s="7" t="e">
        <f>Tabelle156[[#This Row],[Standardabweichung 2]]/Tabelle156[[#This Row],[Mean Visc. 2 '[mPas']2]]</f>
        <v>#VALUE!</v>
      </c>
      <c r="AE84" s="7" t="e">
        <f>Tabelle156[[#This Row],[Standardabweichung 3]]/Tabelle156[[#This Row],[Mean Visc. 3 '[mPas']3]]</f>
        <v>#VALUE!</v>
      </c>
      <c r="AG84" s="7" t="e">
        <f>1-Tabelle1563[[#This Row],[Mean Visc. 1 '[mPas']]]/#REF!</f>
        <v>#REF!</v>
      </c>
    </row>
    <row r="85" spans="1:33" s="7" customFormat="1" x14ac:dyDescent="0.3">
      <c r="A85">
        <v>84</v>
      </c>
      <c r="B85" s="4"/>
      <c r="C85" s="5"/>
      <c r="D85" s="7">
        <v>3</v>
      </c>
      <c r="E85" t="s">
        <v>169</v>
      </c>
      <c r="F85"/>
      <c r="G85" s="7" t="s">
        <v>161</v>
      </c>
      <c r="H85" s="11" t="s">
        <v>164</v>
      </c>
      <c r="I85" s="9" t="s">
        <v>12</v>
      </c>
      <c r="J85" s="7">
        <v>23.5</v>
      </c>
      <c r="K85" s="7">
        <v>10</v>
      </c>
      <c r="L85" s="7">
        <v>30.72</v>
      </c>
      <c r="M85" s="7">
        <v>384</v>
      </c>
      <c r="N85" s="7">
        <f>Tabelle1563[[#This Row],[Anzahl Frames]]/Tabelle1563[[#This Row],[Aufnahmezeit '[s']]]</f>
        <v>12.5</v>
      </c>
      <c r="O85" s="7">
        <f>1/Tabelle1563[[#This Row],[Mean fps ]]</f>
        <v>0.08</v>
      </c>
      <c r="P85" s="7">
        <v>40</v>
      </c>
      <c r="Q85" s="3"/>
      <c r="R85" s="11"/>
      <c r="S85" s="7">
        <v>1.5920000000000001</v>
      </c>
      <c r="T85" s="7">
        <v>1.3</v>
      </c>
      <c r="U85" s="7">
        <v>2.09</v>
      </c>
      <c r="Z85" s="7" t="e" cm="1">
        <f t="array" ref="Z85">STABW</f>
        <v>#NAME?</v>
      </c>
      <c r="AC85" s="7" t="e">
        <f>Tabelle1563[[#This Row],[Standardabweichung 1]]/Tabelle1563[[#This Row],[Mean Visc. 1 '[mPas']]]</f>
        <v>#NAME?</v>
      </c>
      <c r="AD85" s="7" t="e">
        <f>Tabelle156[[#This Row],[Standardabweichung 2]]/Tabelle156[[#This Row],[Mean Visc. 2 '[mPas']2]]</f>
        <v>#VALUE!</v>
      </c>
      <c r="AE85" s="7" t="e">
        <f>Tabelle156[[#This Row],[Standardabweichung 3]]/Tabelle156[[#This Row],[Mean Visc. 3 '[mPas']3]]</f>
        <v>#VALUE!</v>
      </c>
      <c r="AG85" s="7" t="e">
        <f>1-Tabelle1563[[#This Row],[Mean Visc. 1 '[mPas']]]/#REF!</f>
        <v>#REF!</v>
      </c>
    </row>
    <row r="86" spans="1:33" s="17" customFormat="1" ht="15" thickBot="1" x14ac:dyDescent="0.35">
      <c r="A86">
        <v>85</v>
      </c>
      <c r="B86" s="15"/>
      <c r="C86" s="16"/>
      <c r="D86" s="7">
        <v>3</v>
      </c>
      <c r="E86" s="14" t="s">
        <v>169</v>
      </c>
      <c r="F86" s="14"/>
      <c r="G86" s="17" t="s">
        <v>161</v>
      </c>
      <c r="H86" s="21" t="s">
        <v>164</v>
      </c>
      <c r="I86" s="19" t="s">
        <v>12</v>
      </c>
      <c r="J86" s="17">
        <v>23.5</v>
      </c>
      <c r="K86" s="17">
        <v>10</v>
      </c>
      <c r="L86" s="17">
        <v>30.32</v>
      </c>
      <c r="M86" s="17">
        <v>379</v>
      </c>
      <c r="N86" s="17">
        <f>Tabelle1563[[#This Row],[Anzahl Frames]]/Tabelle1563[[#This Row],[Aufnahmezeit '[s']]]</f>
        <v>12.5</v>
      </c>
      <c r="O86" s="17">
        <f>1/Tabelle1563[[#This Row],[Mean fps ]]</f>
        <v>0.08</v>
      </c>
      <c r="P86" s="17">
        <v>40</v>
      </c>
      <c r="Q86" s="20"/>
      <c r="R86" s="21"/>
      <c r="S86" s="17">
        <v>1.704</v>
      </c>
      <c r="T86" s="17">
        <v>1.355</v>
      </c>
      <c r="U86" s="17">
        <v>2.109</v>
      </c>
      <c r="Z86" s="17" t="e" cm="1">
        <f t="array" ref="Z86">STABW</f>
        <v>#NAME?</v>
      </c>
      <c r="AC86" s="17" t="e">
        <f>Tabelle1563[[#This Row],[Standardabweichung 1]]/Tabelle1563[[#This Row],[Mean Visc. 1 '[mPas']]]</f>
        <v>#NAME?</v>
      </c>
      <c r="AD86" s="17" t="e">
        <f>Tabelle156[[#This Row],[Standardabweichung 2]]/Tabelle156[[#This Row],[Mean Visc. 2 '[mPas']2]]</f>
        <v>#VALUE!</v>
      </c>
      <c r="AE86" s="17" t="e">
        <f>Tabelle156[[#This Row],[Standardabweichung 3]]/Tabelle156[[#This Row],[Mean Visc. 3 '[mPas']3]]</f>
        <v>#VALUE!</v>
      </c>
      <c r="AG86" s="17" t="e">
        <f>1-Tabelle1563[[#This Row],[Mean Visc. 1 '[mPas']]]/#REF!</f>
        <v>#REF!</v>
      </c>
    </row>
    <row r="87" spans="1:33" s="7" customFormat="1" ht="15" thickTop="1" x14ac:dyDescent="0.3">
      <c r="A87">
        <v>86</v>
      </c>
      <c r="B87" s="4"/>
      <c r="C87" s="5"/>
      <c r="D87" s="7">
        <v>3</v>
      </c>
      <c r="E87" t="s">
        <v>169</v>
      </c>
      <c r="F87"/>
      <c r="G87" s="7" t="s">
        <v>161</v>
      </c>
      <c r="H87" s="11" t="s">
        <v>164</v>
      </c>
      <c r="I87" s="9" t="s">
        <v>12</v>
      </c>
      <c r="J87" s="7">
        <v>23.6</v>
      </c>
      <c r="K87" s="7">
        <v>10</v>
      </c>
      <c r="L87" s="7">
        <v>30</v>
      </c>
      <c r="M87" s="7">
        <v>375</v>
      </c>
      <c r="N87" s="7">
        <f>Tabelle1563[[#This Row],[Anzahl Frames]]/Tabelle1563[[#This Row],[Aufnahmezeit '[s']]]</f>
        <v>12.5</v>
      </c>
      <c r="O87" s="7">
        <f>1/Tabelle1563[[#This Row],[Mean fps ]]</f>
        <v>0.08</v>
      </c>
      <c r="P87" s="7">
        <v>40</v>
      </c>
      <c r="Q87" s="3"/>
      <c r="R87" s="11"/>
      <c r="S87" s="7">
        <v>1.667</v>
      </c>
      <c r="T87" s="7">
        <v>1.365</v>
      </c>
      <c r="U87" s="7">
        <v>2.052</v>
      </c>
      <c r="Z87" s="7" t="e" cm="1">
        <f t="array" ref="Z87">STABW</f>
        <v>#NAME?</v>
      </c>
      <c r="AC87" s="7" t="e">
        <f>Tabelle1563[[#This Row],[Standardabweichung 1]]/Tabelle1563[[#This Row],[Mean Visc. 1 '[mPas']]]</f>
        <v>#NAME?</v>
      </c>
      <c r="AD87" s="7" t="e">
        <f>Tabelle156[[#This Row],[Standardabweichung 2]]/Tabelle156[[#This Row],[Mean Visc. 2 '[mPas']2]]</f>
        <v>#VALUE!</v>
      </c>
      <c r="AE87" s="7" t="e">
        <f>Tabelle156[[#This Row],[Standardabweichung 3]]/Tabelle156[[#This Row],[Mean Visc. 3 '[mPas']3]]</f>
        <v>#VALUE!</v>
      </c>
      <c r="AG87" s="7" t="e">
        <f>1-Tabelle1563[[#This Row],[Mean Visc. 1 '[mPas']]]/#REF!</f>
        <v>#REF!</v>
      </c>
    </row>
    <row r="88" spans="1:33" s="7" customFormat="1" x14ac:dyDescent="0.3">
      <c r="A88">
        <v>87</v>
      </c>
      <c r="B88" s="4"/>
      <c r="C88" s="5"/>
      <c r="D88" s="7">
        <v>3</v>
      </c>
      <c r="E88" t="s">
        <v>169</v>
      </c>
      <c r="F88"/>
      <c r="G88" s="7" t="s">
        <v>161</v>
      </c>
      <c r="H88" s="11" t="s">
        <v>164</v>
      </c>
      <c r="I88" s="9" t="s">
        <v>12</v>
      </c>
      <c r="J88" s="7">
        <v>23.7</v>
      </c>
      <c r="K88" s="7">
        <v>10</v>
      </c>
      <c r="L88" s="7">
        <v>29.6</v>
      </c>
      <c r="M88" s="7">
        <v>370</v>
      </c>
      <c r="N88" s="7">
        <f>Tabelle1563[[#This Row],[Anzahl Frames]]/Tabelle1563[[#This Row],[Aufnahmezeit '[s']]]</f>
        <v>12.5</v>
      </c>
      <c r="O88" s="7">
        <f>1/Tabelle1563[[#This Row],[Mean fps ]]</f>
        <v>0.08</v>
      </c>
      <c r="P88" s="7">
        <v>40</v>
      </c>
      <c r="Q88" s="3"/>
      <c r="R88" s="11"/>
      <c r="S88" s="7">
        <v>1.5569999999999999</v>
      </c>
      <c r="T88" s="7">
        <v>1.4690000000000001</v>
      </c>
      <c r="U88" s="7">
        <v>2.0289999999999999</v>
      </c>
      <c r="Z88" s="7" t="e" cm="1">
        <f t="array" ref="Z88">STABW</f>
        <v>#NAME?</v>
      </c>
      <c r="AC88" s="7" t="e">
        <f>Tabelle1563[[#This Row],[Standardabweichung 1]]/Tabelle1563[[#This Row],[Mean Visc. 1 '[mPas']]]</f>
        <v>#NAME?</v>
      </c>
      <c r="AD88" s="7" t="e">
        <f>Tabelle156[[#This Row],[Standardabweichung 2]]/Tabelle156[[#This Row],[Mean Visc. 2 '[mPas']2]]</f>
        <v>#VALUE!</v>
      </c>
      <c r="AE88" s="7" t="e">
        <f>Tabelle156[[#This Row],[Standardabweichung 3]]/Tabelle156[[#This Row],[Mean Visc. 3 '[mPas']3]]</f>
        <v>#VALUE!</v>
      </c>
      <c r="AG88" s="7" t="e">
        <f>1-Tabelle1563[[#This Row],[Mean Visc. 1 '[mPas']]]/#REF!</f>
        <v>#REF!</v>
      </c>
    </row>
    <row r="89" spans="1:33" s="7" customFormat="1" x14ac:dyDescent="0.3">
      <c r="A89">
        <v>88</v>
      </c>
      <c r="B89" s="4"/>
      <c r="C89" s="5"/>
      <c r="D89" s="7">
        <v>3</v>
      </c>
      <c r="E89" t="s">
        <v>169</v>
      </c>
      <c r="F89"/>
      <c r="G89" s="7" t="s">
        <v>161</v>
      </c>
      <c r="H89" s="11" t="s">
        <v>164</v>
      </c>
      <c r="I89" s="9" t="s">
        <v>12</v>
      </c>
      <c r="J89" s="7">
        <v>23.7</v>
      </c>
      <c r="K89" s="7">
        <v>10</v>
      </c>
      <c r="L89" s="7">
        <v>30.5</v>
      </c>
      <c r="M89" s="7">
        <v>381</v>
      </c>
      <c r="N89" s="7">
        <f>Tabelle1563[[#This Row],[Anzahl Frames]]/Tabelle1563[[#This Row],[Aufnahmezeit '[s']]]</f>
        <v>12.491803278688524</v>
      </c>
      <c r="O89" s="7">
        <f>1/Tabelle1563[[#This Row],[Mean fps ]]</f>
        <v>8.0052493438320216E-2</v>
      </c>
      <c r="P89" s="7">
        <v>40</v>
      </c>
      <c r="Q89" s="3"/>
      <c r="R89" s="11"/>
      <c r="S89" s="7">
        <v>1.615</v>
      </c>
      <c r="T89" s="7">
        <v>1.425</v>
      </c>
      <c r="U89" s="7">
        <v>2.0619999999999998</v>
      </c>
      <c r="Z89" s="7" t="e" cm="1">
        <f t="array" ref="Z89">STABW</f>
        <v>#NAME?</v>
      </c>
      <c r="AC89" s="7" t="e">
        <f>Tabelle1563[[#This Row],[Standardabweichung 1]]/Tabelle1563[[#This Row],[Mean Visc. 1 '[mPas']]]</f>
        <v>#NAME?</v>
      </c>
      <c r="AD89" s="7" t="e">
        <f>Tabelle156[[#This Row],[Standardabweichung 2]]/Tabelle156[[#This Row],[Mean Visc. 2 '[mPas']2]]</f>
        <v>#VALUE!</v>
      </c>
      <c r="AE89" s="7" t="e">
        <f>Tabelle156[[#This Row],[Standardabweichung 3]]/Tabelle156[[#This Row],[Mean Visc. 3 '[mPas']3]]</f>
        <v>#VALUE!</v>
      </c>
      <c r="AG89" s="7" t="e">
        <f>1-Tabelle1563[[#This Row],[Mean Visc. 1 '[mPas']]]/#REF!</f>
        <v>#REF!</v>
      </c>
    </row>
    <row r="90" spans="1:33" s="7" customFormat="1" x14ac:dyDescent="0.3">
      <c r="A90">
        <v>89</v>
      </c>
      <c r="B90" s="4"/>
      <c r="C90" s="5"/>
      <c r="D90" s="7">
        <v>3</v>
      </c>
      <c r="E90" t="s">
        <v>169</v>
      </c>
      <c r="F90"/>
      <c r="G90" s="7" t="s">
        <v>161</v>
      </c>
      <c r="H90" s="11" t="s">
        <v>164</v>
      </c>
      <c r="I90" s="9" t="s">
        <v>12</v>
      </c>
      <c r="J90" s="7">
        <v>23.8</v>
      </c>
      <c r="K90" s="7">
        <v>10</v>
      </c>
      <c r="L90" s="7">
        <v>32.32</v>
      </c>
      <c r="M90" s="7">
        <v>405</v>
      </c>
      <c r="N90" s="7">
        <f>Tabelle1563[[#This Row],[Anzahl Frames]]/Tabelle1563[[#This Row],[Aufnahmezeit '[s']]]</f>
        <v>12.530940594059405</v>
      </c>
      <c r="O90" s="7">
        <f>1/Tabelle1563[[#This Row],[Mean fps ]]</f>
        <v>7.9802469135802467E-2</v>
      </c>
      <c r="P90" s="7">
        <v>40</v>
      </c>
      <c r="Q90" s="3"/>
      <c r="R90" s="11"/>
      <c r="S90" s="7">
        <v>1.6479999999999999</v>
      </c>
      <c r="T90" s="7">
        <v>1.395</v>
      </c>
      <c r="U90" s="7">
        <v>2.129</v>
      </c>
      <c r="Z90" s="7" t="e" cm="1">
        <f t="array" ref="Z90">STABW</f>
        <v>#NAME?</v>
      </c>
      <c r="AC90" s="7" t="e">
        <f>Tabelle1563[[#This Row],[Standardabweichung 1]]/Tabelle1563[[#This Row],[Mean Visc. 1 '[mPas']]]</f>
        <v>#NAME?</v>
      </c>
      <c r="AD90" s="7" t="e">
        <f>Tabelle156[[#This Row],[Standardabweichung 2]]/Tabelle156[[#This Row],[Mean Visc. 2 '[mPas']2]]</f>
        <v>#VALUE!</v>
      </c>
      <c r="AE90" s="7" t="e">
        <f>Tabelle156[[#This Row],[Standardabweichung 3]]/Tabelle156[[#This Row],[Mean Visc. 3 '[mPas']3]]</f>
        <v>#VALUE!</v>
      </c>
      <c r="AG90" s="7" t="e">
        <f>1-Tabelle1563[[#This Row],[Mean Visc. 1 '[mPas']]]/#REF!</f>
        <v>#REF!</v>
      </c>
    </row>
    <row r="91" spans="1:33" s="17" customFormat="1" ht="15" thickBot="1" x14ac:dyDescent="0.35">
      <c r="A91">
        <v>90</v>
      </c>
      <c r="B91" s="15"/>
      <c r="C91" s="16"/>
      <c r="D91" s="7">
        <v>3</v>
      </c>
      <c r="E91" s="14" t="s">
        <v>169</v>
      </c>
      <c r="F91" s="14"/>
      <c r="G91" s="17" t="s">
        <v>161</v>
      </c>
      <c r="H91" s="21" t="s">
        <v>164</v>
      </c>
      <c r="I91" s="19" t="s">
        <v>12</v>
      </c>
      <c r="J91" s="17">
        <v>23.8</v>
      </c>
      <c r="K91" s="17">
        <v>10</v>
      </c>
      <c r="L91" s="17">
        <v>31.12</v>
      </c>
      <c r="M91" s="17">
        <v>389</v>
      </c>
      <c r="N91" s="17">
        <f>Tabelle1563[[#This Row],[Anzahl Frames]]/Tabelle1563[[#This Row],[Aufnahmezeit '[s']]]</f>
        <v>12.5</v>
      </c>
      <c r="O91" s="17">
        <f>1/Tabelle1563[[#This Row],[Mean fps ]]</f>
        <v>0.08</v>
      </c>
      <c r="P91" s="17">
        <v>40</v>
      </c>
      <c r="Q91" s="20"/>
      <c r="R91" s="21"/>
      <c r="S91" s="17">
        <v>1.637</v>
      </c>
      <c r="T91" s="17">
        <v>1.4630000000000001</v>
      </c>
      <c r="U91" s="17">
        <v>1.9930000000000001</v>
      </c>
      <c r="W91" s="7">
        <f>SUM(S82:S91)/10</f>
        <v>1.6138000000000001</v>
      </c>
      <c r="X91" s="7">
        <f>SUM(T82:T91)/10</f>
        <v>1.3681000000000001</v>
      </c>
      <c r="Y91" s="7">
        <f t="shared" ref="Y91" si="26">SUM(U82:U91)/10</f>
        <v>2.0471999999999997</v>
      </c>
      <c r="Z91" s="17">
        <f>_xlfn.STDEV.S(S82:S91)</f>
        <v>5.0549865369641581E-2</v>
      </c>
      <c r="AA91" s="17">
        <f t="shared" ref="AA91" si="27">_xlfn.STDEV.S(T82:T91)</f>
        <v>7.0880885998977183E-2</v>
      </c>
      <c r="AB91" s="17">
        <f>_xlfn.STDEV.S(U82:U91)</f>
        <v>5.2399745546455941E-2</v>
      </c>
      <c r="AC91" s="17">
        <f>Tabelle1563[[#This Row],[Standardabweichung 1]]/Tabelle1563[[#This Row],[Mean Visc. 1 '[mPas']]]</f>
        <v>3.1323500662809256E-2</v>
      </c>
      <c r="AD91" s="17">
        <f>Tabelle1563[[#This Row],[Standardabweichung 2]]/Tabelle1563[[#This Row],[Mean Visc. 2 '[mPas']2]]</f>
        <v>5.1809725896482112E-2</v>
      </c>
      <c r="AE91" s="17">
        <f>Tabelle1563[[#This Row],[Standardabweichung 3]]/Tabelle1563[[#This Row],[Mean Visc. 3 '[mPas']3]]</f>
        <v>2.5595811619019124E-2</v>
      </c>
      <c r="AG91" s="17" t="e">
        <f>1-Tabelle1563[[#This Row],[Mean Visc. 1 '[mPas']]]/#REF!</f>
        <v>#REF!</v>
      </c>
    </row>
    <row r="92" spans="1:33" s="7" customFormat="1" ht="15" thickTop="1" x14ac:dyDescent="0.3">
      <c r="A92">
        <v>91</v>
      </c>
      <c r="B92" s="4"/>
      <c r="C92" s="5"/>
      <c r="D92" s="7">
        <v>4</v>
      </c>
      <c r="E92" t="s">
        <v>169</v>
      </c>
      <c r="F92"/>
      <c r="G92" t="s">
        <v>161</v>
      </c>
      <c r="H92" s="11" t="s">
        <v>160</v>
      </c>
      <c r="I92" s="9" t="s">
        <v>12</v>
      </c>
      <c r="J92" s="7">
        <v>23.1</v>
      </c>
      <c r="K92" s="7">
        <v>10</v>
      </c>
      <c r="L92" s="7">
        <v>29.76</v>
      </c>
      <c r="M92" s="7">
        <v>373</v>
      </c>
      <c r="N92" s="7">
        <f>Tabelle1563[[#This Row],[Anzahl Frames]]/Tabelle1563[[#This Row],[Aufnahmezeit '[s']]]</f>
        <v>12.533602150537634</v>
      </c>
      <c r="O92" s="7">
        <f>1/Tabelle1563[[#This Row],[Mean fps ]]</f>
        <v>7.978552278820375E-2</v>
      </c>
      <c r="P92" s="7">
        <v>40</v>
      </c>
      <c r="Q92" s="3"/>
      <c r="R92" s="11"/>
      <c r="S92" s="7">
        <v>0.96</v>
      </c>
      <c r="T92" s="7">
        <v>0.85499999999999998</v>
      </c>
      <c r="U92" s="7">
        <v>1.506</v>
      </c>
      <c r="Z92" s="7" t="e" cm="1">
        <f t="array" ref="Z92">STABW</f>
        <v>#NAME?</v>
      </c>
      <c r="AC92" s="7" t="e">
        <f>Tabelle1563[[#This Row],[Standardabweichung 1]]/Tabelle1563[[#This Row],[Mean Visc. 1 '[mPas']]]</f>
        <v>#NAME?</v>
      </c>
      <c r="AD92" s="7" t="e">
        <f>Tabelle156[[#This Row],[Standardabweichung 2]]/Tabelle156[[#This Row],[Mean Visc. 2 '[mPas']2]]</f>
        <v>#VALUE!</v>
      </c>
      <c r="AE92" s="7" t="e">
        <f>Tabelle156[[#This Row],[Standardabweichung 3]]/Tabelle156[[#This Row],[Mean Visc. 3 '[mPas']3]]</f>
        <v>#VALUE!</v>
      </c>
      <c r="AG92" s="7" t="e">
        <f>1-Tabelle1563[[#This Row],[Mean Visc. 1 '[mPas']]]/#REF!</f>
        <v>#REF!</v>
      </c>
    </row>
    <row r="93" spans="1:33" s="7" customFormat="1" x14ac:dyDescent="0.3">
      <c r="A93">
        <v>92</v>
      </c>
      <c r="B93" s="4"/>
      <c r="C93" s="5"/>
      <c r="D93" s="7">
        <v>4</v>
      </c>
      <c r="E93" t="s">
        <v>169</v>
      </c>
      <c r="F93"/>
      <c r="G93" t="s">
        <v>161</v>
      </c>
      <c r="H93" s="11" t="s">
        <v>160</v>
      </c>
      <c r="I93" s="9" t="s">
        <v>12</v>
      </c>
      <c r="J93" s="7">
        <v>23.2</v>
      </c>
      <c r="K93" s="7">
        <v>10</v>
      </c>
      <c r="L93" s="7">
        <v>30.08</v>
      </c>
      <c r="M93" s="7">
        <v>377</v>
      </c>
      <c r="N93" s="7">
        <f>Tabelle1563[[#This Row],[Anzahl Frames]]/Tabelle1563[[#This Row],[Aufnahmezeit '[s']]]</f>
        <v>12.533244680851064</v>
      </c>
      <c r="O93" s="7">
        <f>1/Tabelle1563[[#This Row],[Mean fps ]]</f>
        <v>7.9787798408488056E-2</v>
      </c>
      <c r="P93" s="7">
        <v>40</v>
      </c>
      <c r="Q93" s="3"/>
      <c r="R93" s="11"/>
      <c r="S93" s="7">
        <v>1.0629999999999999</v>
      </c>
      <c r="T93" s="7">
        <v>0.86299999999999999</v>
      </c>
      <c r="U93" s="7">
        <v>1.577</v>
      </c>
      <c r="Z93" s="7" t="e" cm="1">
        <f t="array" ref="Z93">STABW</f>
        <v>#NAME?</v>
      </c>
      <c r="AC93" s="7" t="e">
        <f>Tabelle1563[[#This Row],[Standardabweichung 1]]/Tabelle1563[[#This Row],[Mean Visc. 1 '[mPas']]]</f>
        <v>#NAME?</v>
      </c>
      <c r="AD93" s="7" t="e">
        <f>Tabelle156[[#This Row],[Standardabweichung 2]]/Tabelle156[[#This Row],[Mean Visc. 2 '[mPas']2]]</f>
        <v>#VALUE!</v>
      </c>
      <c r="AE93" s="7" t="e">
        <f>Tabelle156[[#This Row],[Standardabweichung 3]]/Tabelle156[[#This Row],[Mean Visc. 3 '[mPas']3]]</f>
        <v>#VALUE!</v>
      </c>
      <c r="AG93" s="7" t="e">
        <f>1-Tabelle1563[[#This Row],[Mean Visc. 1 '[mPas']]]/#REF!</f>
        <v>#REF!</v>
      </c>
    </row>
    <row r="94" spans="1:33" s="7" customFormat="1" x14ac:dyDescent="0.3">
      <c r="A94">
        <v>93</v>
      </c>
      <c r="B94" s="4"/>
      <c r="C94" s="5"/>
      <c r="D94" s="7">
        <v>4</v>
      </c>
      <c r="E94" t="s">
        <v>169</v>
      </c>
      <c r="F94"/>
      <c r="G94" t="s">
        <v>161</v>
      </c>
      <c r="H94" s="11" t="s">
        <v>160</v>
      </c>
      <c r="I94" s="9" t="s">
        <v>12</v>
      </c>
      <c r="J94" s="7">
        <v>23.3</v>
      </c>
      <c r="K94" s="7">
        <v>10</v>
      </c>
      <c r="L94" s="7">
        <v>30.48</v>
      </c>
      <c r="M94" s="7">
        <v>381</v>
      </c>
      <c r="N94" s="7">
        <f>Tabelle1563[[#This Row],[Anzahl Frames]]/Tabelle1563[[#This Row],[Aufnahmezeit '[s']]]</f>
        <v>12.5</v>
      </c>
      <c r="O94" s="7">
        <f>1/Tabelle1563[[#This Row],[Mean fps ]]</f>
        <v>0.08</v>
      </c>
      <c r="P94" s="7">
        <v>40</v>
      </c>
      <c r="Q94" s="3"/>
      <c r="R94" s="11"/>
      <c r="S94" s="7">
        <v>1.08</v>
      </c>
      <c r="T94" s="7">
        <v>0.92400000000000004</v>
      </c>
      <c r="U94" s="7">
        <v>1.4950000000000001</v>
      </c>
      <c r="Z94" s="7" t="e" cm="1">
        <f t="array" ref="Z94">STABW</f>
        <v>#NAME?</v>
      </c>
      <c r="AC94" s="7" t="e">
        <f>Tabelle1563[[#This Row],[Standardabweichung 1]]/Tabelle1563[[#This Row],[Mean Visc. 1 '[mPas']]]</f>
        <v>#NAME?</v>
      </c>
      <c r="AD94" s="7" t="e">
        <f>Tabelle156[[#This Row],[Standardabweichung 2]]/Tabelle156[[#This Row],[Mean Visc. 2 '[mPas']2]]</f>
        <v>#VALUE!</v>
      </c>
      <c r="AE94" s="7" t="e">
        <f>Tabelle156[[#This Row],[Standardabweichung 3]]/Tabelle156[[#This Row],[Mean Visc. 3 '[mPas']3]]</f>
        <v>#VALUE!</v>
      </c>
      <c r="AG94" s="7" t="e">
        <f>1-Tabelle1563[[#This Row],[Mean Visc. 1 '[mPas']]]/#REF!</f>
        <v>#REF!</v>
      </c>
    </row>
    <row r="95" spans="1:33" s="7" customFormat="1" x14ac:dyDescent="0.3">
      <c r="A95">
        <v>94</v>
      </c>
      <c r="B95" s="4"/>
      <c r="C95" s="5"/>
      <c r="D95" s="7">
        <v>4</v>
      </c>
      <c r="E95" t="s">
        <v>169</v>
      </c>
      <c r="F95"/>
      <c r="G95" t="s">
        <v>161</v>
      </c>
      <c r="H95" s="11" t="s">
        <v>160</v>
      </c>
      <c r="I95" s="9" t="s">
        <v>12</v>
      </c>
      <c r="J95" s="7">
        <v>23.4</v>
      </c>
      <c r="K95" s="7">
        <v>10</v>
      </c>
      <c r="L95" s="7">
        <v>31.12</v>
      </c>
      <c r="M95" s="7">
        <v>389</v>
      </c>
      <c r="N95" s="7">
        <f>Tabelle1563[[#This Row],[Anzahl Frames]]/Tabelle1563[[#This Row],[Aufnahmezeit '[s']]]</f>
        <v>12.5</v>
      </c>
      <c r="O95" s="7">
        <f>1/Tabelle1563[[#This Row],[Mean fps ]]</f>
        <v>0.08</v>
      </c>
      <c r="P95" s="7">
        <v>40</v>
      </c>
      <c r="Q95" s="3"/>
      <c r="R95" s="11"/>
      <c r="S95" s="7">
        <v>1.1020000000000001</v>
      </c>
      <c r="T95" s="7">
        <v>0.84699999999999998</v>
      </c>
      <c r="U95" s="7">
        <v>1.6020000000000001</v>
      </c>
      <c r="Z95" s="7" t="e" cm="1">
        <f t="array" ref="Z95">STABW</f>
        <v>#NAME?</v>
      </c>
      <c r="AC95" s="7" t="e">
        <f>Tabelle1563[[#This Row],[Standardabweichung 1]]/Tabelle1563[[#This Row],[Mean Visc. 1 '[mPas']]]</f>
        <v>#NAME?</v>
      </c>
      <c r="AD95" s="7" t="e">
        <f>Tabelle156[[#This Row],[Standardabweichung 2]]/Tabelle156[[#This Row],[Mean Visc. 2 '[mPas']2]]</f>
        <v>#VALUE!</v>
      </c>
      <c r="AE95" s="7" t="e">
        <f>Tabelle156[[#This Row],[Standardabweichung 3]]/Tabelle156[[#This Row],[Mean Visc. 3 '[mPas']3]]</f>
        <v>#VALUE!</v>
      </c>
      <c r="AG95" s="7" t="e">
        <f>1-Tabelle1563[[#This Row],[Mean Visc. 1 '[mPas']]]/#REF!</f>
        <v>#REF!</v>
      </c>
    </row>
    <row r="96" spans="1:33" s="17" customFormat="1" ht="15" thickBot="1" x14ac:dyDescent="0.35">
      <c r="A96">
        <v>95</v>
      </c>
      <c r="B96" s="15"/>
      <c r="C96" s="16"/>
      <c r="D96" s="7">
        <v>4</v>
      </c>
      <c r="E96" t="s">
        <v>169</v>
      </c>
      <c r="F96"/>
      <c r="G96" t="s">
        <v>161</v>
      </c>
      <c r="H96" s="11" t="s">
        <v>160</v>
      </c>
      <c r="I96" s="9" t="s">
        <v>12</v>
      </c>
      <c r="J96" s="17">
        <v>23.4</v>
      </c>
      <c r="K96" s="17">
        <v>10</v>
      </c>
      <c r="L96" s="17">
        <v>30.4</v>
      </c>
      <c r="M96" s="17">
        <v>381</v>
      </c>
      <c r="N96" s="17">
        <f>Tabelle1563[[#This Row],[Anzahl Frames]]/Tabelle1563[[#This Row],[Aufnahmezeit '[s']]]</f>
        <v>12.532894736842106</v>
      </c>
      <c r="O96" s="17">
        <f>1/Tabelle1563[[#This Row],[Mean fps ]]</f>
        <v>7.9790026246719159E-2</v>
      </c>
      <c r="P96" s="17">
        <v>40</v>
      </c>
      <c r="Q96" s="20"/>
      <c r="R96" s="21"/>
      <c r="S96" s="17">
        <v>1.1419999999999999</v>
      </c>
      <c r="T96" s="17">
        <v>0.94299999999999995</v>
      </c>
      <c r="U96" s="17">
        <v>1.65</v>
      </c>
      <c r="Z96" s="17" t="e" cm="1">
        <f t="array" ref="Z96">STABW</f>
        <v>#NAME?</v>
      </c>
      <c r="AC96" s="17" t="e">
        <f>Tabelle1563[[#This Row],[Standardabweichung 1]]/Tabelle1563[[#This Row],[Mean Visc. 1 '[mPas']]]</f>
        <v>#NAME?</v>
      </c>
      <c r="AD96" s="17" t="e">
        <f>Tabelle156[[#This Row],[Standardabweichung 2]]/Tabelle156[[#This Row],[Mean Visc. 2 '[mPas']2]]</f>
        <v>#VALUE!</v>
      </c>
      <c r="AE96" s="17" t="e">
        <f>Tabelle156[[#This Row],[Standardabweichung 3]]/Tabelle156[[#This Row],[Mean Visc. 3 '[mPas']3]]</f>
        <v>#VALUE!</v>
      </c>
      <c r="AG96" s="17" t="e">
        <f>1-Tabelle1563[[#This Row],[Mean Visc. 1 '[mPas']]]/#REF!</f>
        <v>#REF!</v>
      </c>
    </row>
    <row r="97" spans="1:35" s="7" customFormat="1" ht="15" thickTop="1" x14ac:dyDescent="0.3">
      <c r="A97">
        <v>96</v>
      </c>
      <c r="B97" s="4"/>
      <c r="C97" s="5"/>
      <c r="D97" s="7">
        <v>4</v>
      </c>
      <c r="E97" t="s">
        <v>169</v>
      </c>
      <c r="F97"/>
      <c r="G97" t="s">
        <v>161</v>
      </c>
      <c r="H97" s="11" t="s">
        <v>160</v>
      </c>
      <c r="I97" s="9" t="s">
        <v>12</v>
      </c>
      <c r="J97" s="7">
        <v>23.5</v>
      </c>
      <c r="K97" s="7">
        <v>10</v>
      </c>
      <c r="L97" s="7">
        <v>29.92</v>
      </c>
      <c r="M97" s="7">
        <v>375</v>
      </c>
      <c r="N97" s="7">
        <f>Tabelle1563[[#This Row],[Anzahl Frames]]/Tabelle1563[[#This Row],[Aufnahmezeit '[s']]]</f>
        <v>12.533422459893048</v>
      </c>
      <c r="O97" s="7">
        <f>1/Tabelle1563[[#This Row],[Mean fps ]]</f>
        <v>7.9786666666666672E-2</v>
      </c>
      <c r="P97" s="7">
        <v>40</v>
      </c>
      <c r="Q97" s="3"/>
      <c r="R97" s="11"/>
      <c r="S97" s="7">
        <v>1.2809999999999999</v>
      </c>
      <c r="T97" s="7">
        <v>1.091</v>
      </c>
      <c r="U97" s="7">
        <v>1.6020000000000001</v>
      </c>
      <c r="Z97" s="7" t="e" cm="1">
        <f t="array" ref="Z97">STABW</f>
        <v>#NAME?</v>
      </c>
      <c r="AC97" s="7" t="e">
        <f>Tabelle1563[[#This Row],[Standardabweichung 1]]/Tabelle1563[[#This Row],[Mean Visc. 1 '[mPas']]]</f>
        <v>#NAME?</v>
      </c>
      <c r="AD97" s="7" t="e">
        <f>Tabelle156[[#This Row],[Standardabweichung 2]]/Tabelle156[[#This Row],[Mean Visc. 2 '[mPas']2]]</f>
        <v>#VALUE!</v>
      </c>
      <c r="AE97" s="7" t="e">
        <f>Tabelle156[[#This Row],[Standardabweichung 3]]/Tabelle156[[#This Row],[Mean Visc. 3 '[mPas']3]]</f>
        <v>#VALUE!</v>
      </c>
      <c r="AG97" s="7" t="e">
        <f>1-Tabelle1563[[#This Row],[Mean Visc. 1 '[mPas']]]/#REF!</f>
        <v>#REF!</v>
      </c>
    </row>
    <row r="98" spans="1:35" s="7" customFormat="1" x14ac:dyDescent="0.3">
      <c r="A98">
        <v>97</v>
      </c>
      <c r="B98" s="4"/>
      <c r="C98" s="5"/>
      <c r="D98" s="7">
        <v>4</v>
      </c>
      <c r="E98" t="s">
        <v>169</v>
      </c>
      <c r="F98"/>
      <c r="G98" t="s">
        <v>161</v>
      </c>
      <c r="H98" s="11" t="s">
        <v>160</v>
      </c>
      <c r="I98" s="9" t="s">
        <v>12</v>
      </c>
      <c r="J98" s="7">
        <v>23.5</v>
      </c>
      <c r="K98" s="7">
        <v>10</v>
      </c>
      <c r="L98" s="7">
        <v>30.55</v>
      </c>
      <c r="M98" s="7">
        <v>382</v>
      </c>
      <c r="N98" s="7">
        <f>Tabelle1563[[#This Row],[Anzahl Frames]]/Tabelle1563[[#This Row],[Aufnahmezeit '[s']]]</f>
        <v>12.504091653027823</v>
      </c>
      <c r="O98" s="7">
        <f>1/Tabelle1563[[#This Row],[Mean fps ]]</f>
        <v>7.9973821989528793E-2</v>
      </c>
      <c r="P98" s="7">
        <v>40</v>
      </c>
      <c r="Q98" s="3"/>
      <c r="R98" s="11"/>
      <c r="S98" s="7">
        <v>1.022</v>
      </c>
      <c r="T98" s="7">
        <v>0.82199999999999995</v>
      </c>
      <c r="U98" s="7">
        <v>1.5269999999999999</v>
      </c>
      <c r="Z98" s="7" t="e" cm="1">
        <f t="array" ref="Z98">STABW</f>
        <v>#NAME?</v>
      </c>
      <c r="AC98" s="7" t="e">
        <f>Tabelle1563[[#This Row],[Standardabweichung 1]]/Tabelle1563[[#This Row],[Mean Visc. 1 '[mPas']]]</f>
        <v>#NAME?</v>
      </c>
      <c r="AD98" s="7" t="e">
        <f>Tabelle156[[#This Row],[Standardabweichung 2]]/Tabelle156[[#This Row],[Mean Visc. 2 '[mPas']2]]</f>
        <v>#VALUE!</v>
      </c>
      <c r="AE98" s="7" t="e">
        <f>Tabelle156[[#This Row],[Standardabweichung 3]]/Tabelle156[[#This Row],[Mean Visc. 3 '[mPas']3]]</f>
        <v>#VALUE!</v>
      </c>
      <c r="AG98" s="7" t="e">
        <f>1-Tabelle1563[[#This Row],[Mean Visc. 1 '[mPas']]]/#REF!</f>
        <v>#REF!</v>
      </c>
    </row>
    <row r="99" spans="1:35" s="7" customFormat="1" x14ac:dyDescent="0.3">
      <c r="A99">
        <v>98</v>
      </c>
      <c r="B99" s="4"/>
      <c r="C99" s="5"/>
      <c r="D99" s="7">
        <v>4</v>
      </c>
      <c r="E99" t="s">
        <v>169</v>
      </c>
      <c r="F99"/>
      <c r="G99" t="s">
        <v>161</v>
      </c>
      <c r="H99" s="11" t="s">
        <v>160</v>
      </c>
      <c r="I99" s="9" t="s">
        <v>12</v>
      </c>
      <c r="J99" s="7">
        <v>23.6</v>
      </c>
      <c r="K99" s="7">
        <v>10</v>
      </c>
      <c r="L99" s="7">
        <v>30.48</v>
      </c>
      <c r="M99" s="7">
        <v>382</v>
      </c>
      <c r="N99" s="7">
        <f>Tabelle1563[[#This Row],[Anzahl Frames]]/Tabelle1563[[#This Row],[Aufnahmezeit '[s']]]</f>
        <v>12.532808398950131</v>
      </c>
      <c r="O99" s="7">
        <f>1/Tabelle1563[[#This Row],[Mean fps ]]</f>
        <v>7.9790575916230372E-2</v>
      </c>
      <c r="P99" s="7">
        <v>40</v>
      </c>
      <c r="Q99" s="3"/>
      <c r="R99" s="11"/>
      <c r="S99" s="7">
        <v>1.048</v>
      </c>
      <c r="T99" s="7">
        <v>0.97199999999999998</v>
      </c>
      <c r="U99" s="7">
        <v>1.4570000000000001</v>
      </c>
      <c r="Z99" s="7" t="e" cm="1">
        <f t="array" ref="Z99">STABW</f>
        <v>#NAME?</v>
      </c>
      <c r="AC99" s="7" t="e">
        <f>Tabelle1563[[#This Row],[Standardabweichung 1]]/Tabelle1563[[#This Row],[Mean Visc. 1 '[mPas']]]</f>
        <v>#NAME?</v>
      </c>
      <c r="AD99" s="7" t="e">
        <f>Tabelle156[[#This Row],[Standardabweichung 2]]/Tabelle156[[#This Row],[Mean Visc. 2 '[mPas']2]]</f>
        <v>#VALUE!</v>
      </c>
      <c r="AE99" s="7" t="e">
        <f>Tabelle156[[#This Row],[Standardabweichung 3]]/Tabelle156[[#This Row],[Mean Visc. 3 '[mPas']3]]</f>
        <v>#VALUE!</v>
      </c>
      <c r="AG99" s="7" t="e">
        <f>1-Tabelle1563[[#This Row],[Mean Visc. 1 '[mPas']]]/#REF!</f>
        <v>#REF!</v>
      </c>
    </row>
    <row r="100" spans="1:35" s="7" customFormat="1" x14ac:dyDescent="0.3">
      <c r="A100">
        <v>99</v>
      </c>
      <c r="B100" s="4"/>
      <c r="C100" s="5"/>
      <c r="D100" s="7">
        <v>4</v>
      </c>
      <c r="E100" t="s">
        <v>169</v>
      </c>
      <c r="F100"/>
      <c r="G100" t="s">
        <v>161</v>
      </c>
      <c r="H100" s="11" t="s">
        <v>160</v>
      </c>
      <c r="I100" s="9" t="s">
        <v>12</v>
      </c>
      <c r="J100" s="7">
        <v>23.6</v>
      </c>
      <c r="K100" s="7">
        <v>10</v>
      </c>
      <c r="L100" s="7">
        <v>30.56</v>
      </c>
      <c r="M100" s="7">
        <v>382</v>
      </c>
      <c r="N100" s="7">
        <f>Tabelle1563[[#This Row],[Anzahl Frames]]/Tabelle1563[[#This Row],[Aufnahmezeit '[s']]]</f>
        <v>12.5</v>
      </c>
      <c r="O100" s="7">
        <f>1/Tabelle1563[[#This Row],[Mean fps ]]</f>
        <v>0.08</v>
      </c>
      <c r="P100" s="7">
        <v>40</v>
      </c>
      <c r="Q100" s="3"/>
      <c r="R100" s="11"/>
      <c r="S100" s="7">
        <v>1.0569999999999999</v>
      </c>
      <c r="T100" s="7">
        <v>0.746</v>
      </c>
      <c r="U100" s="7">
        <v>1.3109999999999999</v>
      </c>
      <c r="Z100" s="7" t="e" cm="1">
        <f t="array" ref="Z100">STABW</f>
        <v>#NAME?</v>
      </c>
      <c r="AC100" s="7" t="e">
        <f>Tabelle1563[[#This Row],[Standardabweichung 1]]/Tabelle1563[[#This Row],[Mean Visc. 1 '[mPas']]]</f>
        <v>#NAME?</v>
      </c>
      <c r="AD100" s="7" t="e">
        <f>Tabelle156[[#This Row],[Standardabweichung 2]]/Tabelle156[[#This Row],[Mean Visc. 2 '[mPas']2]]</f>
        <v>#VALUE!</v>
      </c>
      <c r="AE100" s="7" t="e">
        <f>Tabelle156[[#This Row],[Standardabweichung 3]]/Tabelle156[[#This Row],[Mean Visc. 3 '[mPas']3]]</f>
        <v>#VALUE!</v>
      </c>
      <c r="AG100" s="7" t="e">
        <f>1-Tabelle1563[[#This Row],[Mean Visc. 1 '[mPas']]]/#REF!</f>
        <v>#REF!</v>
      </c>
    </row>
    <row r="101" spans="1:35" s="17" customFormat="1" ht="15" thickBot="1" x14ac:dyDescent="0.35">
      <c r="A101">
        <v>100</v>
      </c>
      <c r="B101" s="15"/>
      <c r="C101" s="16"/>
      <c r="D101" s="7">
        <v>4</v>
      </c>
      <c r="E101" t="s">
        <v>169</v>
      </c>
      <c r="F101"/>
      <c r="G101" t="s">
        <v>161</v>
      </c>
      <c r="H101" s="11" t="s">
        <v>160</v>
      </c>
      <c r="I101" s="9" t="s">
        <v>12</v>
      </c>
      <c r="J101" s="17">
        <v>23.7</v>
      </c>
      <c r="K101" s="17">
        <v>10</v>
      </c>
      <c r="L101" s="17">
        <v>30.48</v>
      </c>
      <c r="M101" s="17">
        <v>381</v>
      </c>
      <c r="N101" s="17">
        <f>Tabelle1563[[#This Row],[Anzahl Frames]]/Tabelle1563[[#This Row],[Aufnahmezeit '[s']]]</f>
        <v>12.5</v>
      </c>
      <c r="O101" s="17">
        <f>1/Tabelle1563[[#This Row],[Mean fps ]]</f>
        <v>0.08</v>
      </c>
      <c r="P101" s="17">
        <v>40</v>
      </c>
      <c r="Q101" s="20"/>
      <c r="R101" s="21"/>
      <c r="S101" s="17">
        <v>0.97899999999999998</v>
      </c>
      <c r="T101" s="17">
        <v>0.88100000000000001</v>
      </c>
      <c r="U101" s="17">
        <v>1.3169999999999999</v>
      </c>
      <c r="W101" s="7">
        <f>SUM(S92:S101)/10</f>
        <v>1.0733999999999999</v>
      </c>
      <c r="X101" s="7">
        <f>SUM(T92:T101)/10</f>
        <v>0.89440000000000008</v>
      </c>
      <c r="Y101" s="7">
        <f t="shared" ref="Y101" si="28">SUM(U92:U101)/10</f>
        <v>1.5044</v>
      </c>
      <c r="Z101" s="17">
        <f>_xlfn.STDEV.S(S92:S101)</f>
        <v>9.073796216456359E-2</v>
      </c>
      <c r="AA101" s="17">
        <f t="shared" ref="AA101" si="29">_xlfn.STDEV.S(T92:T101)</f>
        <v>9.4363599384979416E-2</v>
      </c>
      <c r="AB101" s="17">
        <f>_xlfn.STDEV.S(U92:U101)</f>
        <v>0.11589861469788537</v>
      </c>
      <c r="AC101" s="17">
        <f>Tabelle1563[[#This Row],[Standardabweichung 1]]/Tabelle1563[[#This Row],[Mean Visc. 1 '[mPas']]]</f>
        <v>8.453322355558375E-2</v>
      </c>
      <c r="AD101" s="17">
        <f>Tabelle1563[[#This Row],[Standardabweichung 2]]/Tabelle1563[[#This Row],[Mean Visc. 2 '[mPas']2]]</f>
        <v>0.10550491881147071</v>
      </c>
      <c r="AE101" s="17">
        <f>Tabelle1563[[#This Row],[Standardabweichung 3]]/Tabelle1563[[#This Row],[Mean Visc. 3 '[mPas']3]]</f>
        <v>7.703975983640346E-2</v>
      </c>
      <c r="AG101" s="17" t="e">
        <f>1-Tabelle1563[[#This Row],[Mean Visc. 1 '[mPas']]]/#REF!</f>
        <v>#REF!</v>
      </c>
    </row>
    <row r="102" spans="1:35" s="7" customFormat="1" ht="15" thickTop="1" x14ac:dyDescent="0.3">
      <c r="A102">
        <v>101</v>
      </c>
      <c r="B102" s="4"/>
      <c r="C102" s="5"/>
      <c r="D102" s="7">
        <v>4</v>
      </c>
      <c r="E102" t="s">
        <v>169</v>
      </c>
      <c r="F102"/>
      <c r="G102" t="s">
        <v>161</v>
      </c>
      <c r="H102" s="11" t="s">
        <v>163</v>
      </c>
      <c r="I102" s="9" t="s">
        <v>12</v>
      </c>
      <c r="J102" s="7">
        <v>24.1</v>
      </c>
      <c r="K102" s="7">
        <v>10</v>
      </c>
      <c r="L102" s="7">
        <v>32.72</v>
      </c>
      <c r="M102" s="7">
        <v>410</v>
      </c>
      <c r="N102" s="7">
        <f>Tabelle1563[[#This Row],[Anzahl Frames]]/Tabelle1563[[#This Row],[Aufnahmezeit '[s']]]</f>
        <v>12.530562347188264</v>
      </c>
      <c r="O102" s="7">
        <f>1/Tabelle1563[[#This Row],[Mean fps ]]</f>
        <v>7.9804878048780489E-2</v>
      </c>
      <c r="P102" s="7">
        <v>40</v>
      </c>
      <c r="Q102" s="3"/>
      <c r="R102" s="11"/>
      <c r="S102" s="7">
        <v>1.18</v>
      </c>
      <c r="T102" s="7">
        <v>0.96</v>
      </c>
      <c r="U102" s="7">
        <v>1.573</v>
      </c>
      <c r="Z102" s="7" t="e" cm="1">
        <f t="array" ref="Z102">STABW</f>
        <v>#NAME?</v>
      </c>
      <c r="AC102" s="7" t="e">
        <f>Tabelle1563[[#This Row],[Standardabweichung 1]]/Tabelle1563[[#This Row],[Mean Visc. 1 '[mPas']]]</f>
        <v>#NAME?</v>
      </c>
      <c r="AD102" s="7" t="e">
        <f>Tabelle156[[#This Row],[Standardabweichung 2]]/Tabelle156[[#This Row],[Mean Visc. 2 '[mPas']2]]</f>
        <v>#VALUE!</v>
      </c>
      <c r="AE102" s="7" t="e">
        <f>Tabelle156[[#This Row],[Standardabweichung 3]]/Tabelle156[[#This Row],[Mean Visc. 3 '[mPas']3]]</f>
        <v>#VALUE!</v>
      </c>
      <c r="AG102" s="7" t="e">
        <f>1-Tabelle1563[[#This Row],[Mean Visc. 1 '[mPas']]]/#REF!</f>
        <v>#REF!</v>
      </c>
    </row>
    <row r="103" spans="1:35" s="7" customFormat="1" x14ac:dyDescent="0.3">
      <c r="A103">
        <v>102</v>
      </c>
      <c r="B103" s="4"/>
      <c r="C103" s="5"/>
      <c r="D103" s="7">
        <v>4</v>
      </c>
      <c r="E103" t="s">
        <v>169</v>
      </c>
      <c r="F103"/>
      <c r="G103" t="s">
        <v>161</v>
      </c>
      <c r="H103" s="11" t="s">
        <v>163</v>
      </c>
      <c r="I103" s="9" t="s">
        <v>12</v>
      </c>
      <c r="J103" s="7">
        <v>24.5</v>
      </c>
      <c r="K103" s="7">
        <v>10</v>
      </c>
      <c r="L103" s="7">
        <v>30.32</v>
      </c>
      <c r="M103" s="7">
        <v>380</v>
      </c>
      <c r="N103" s="7">
        <f>Tabelle1563[[#This Row],[Anzahl Frames]]/Tabelle1563[[#This Row],[Aufnahmezeit '[s']]]</f>
        <v>12.532981530343008</v>
      </c>
      <c r="O103" s="7">
        <f>1/Tabelle1563[[#This Row],[Mean fps ]]</f>
        <v>7.9789473684210521E-2</v>
      </c>
      <c r="P103" s="7">
        <v>40</v>
      </c>
      <c r="Q103" s="3"/>
      <c r="R103" s="11"/>
      <c r="S103" s="7">
        <v>1.1399999999999999</v>
      </c>
      <c r="T103" s="7">
        <v>0.95499999999999996</v>
      </c>
      <c r="U103" s="7">
        <v>1.542</v>
      </c>
      <c r="Z103" s="7" t="e" cm="1">
        <f t="array" ref="Z103">STABW</f>
        <v>#NAME?</v>
      </c>
      <c r="AC103" s="7" t="e">
        <f>Tabelle1563[[#This Row],[Standardabweichung 1]]/Tabelle1563[[#This Row],[Mean Visc. 1 '[mPas']]]</f>
        <v>#NAME?</v>
      </c>
      <c r="AD103" s="7" t="e">
        <f>Tabelle156[[#This Row],[Standardabweichung 2]]/Tabelle156[[#This Row],[Mean Visc. 2 '[mPas']2]]</f>
        <v>#VALUE!</v>
      </c>
      <c r="AE103" s="7" t="e">
        <f>Tabelle156[[#This Row],[Standardabweichung 3]]/Tabelle156[[#This Row],[Mean Visc. 3 '[mPas']3]]</f>
        <v>#VALUE!</v>
      </c>
      <c r="AG103" s="7" t="e">
        <f>1-Tabelle1563[[#This Row],[Mean Visc. 1 '[mPas']]]/#REF!</f>
        <v>#REF!</v>
      </c>
    </row>
    <row r="104" spans="1:35" s="7" customFormat="1" x14ac:dyDescent="0.3">
      <c r="A104">
        <v>103</v>
      </c>
      <c r="B104" s="4"/>
      <c r="C104" s="5"/>
      <c r="D104" s="7">
        <v>4</v>
      </c>
      <c r="E104" t="s">
        <v>169</v>
      </c>
      <c r="F104"/>
      <c r="G104" t="s">
        <v>161</v>
      </c>
      <c r="H104" s="11" t="s">
        <v>163</v>
      </c>
      <c r="I104" s="9" t="s">
        <v>12</v>
      </c>
      <c r="J104" s="7">
        <v>24.5</v>
      </c>
      <c r="K104" s="7">
        <v>10</v>
      </c>
      <c r="L104" s="7">
        <v>30.26</v>
      </c>
      <c r="M104" s="7">
        <v>378</v>
      </c>
      <c r="N104" s="7">
        <f>Tabelle1563[[#This Row],[Anzahl Frames]]/Tabelle1563[[#This Row],[Aufnahmezeit '[s']]]</f>
        <v>12.491738268341043</v>
      </c>
      <c r="O104" s="7">
        <f>1/Tabelle1563[[#This Row],[Mean fps ]]</f>
        <v>8.0052910052910056E-2</v>
      </c>
      <c r="P104" s="7">
        <v>40</v>
      </c>
      <c r="Q104" s="3"/>
      <c r="R104" s="11"/>
      <c r="S104" s="7">
        <v>1.141</v>
      </c>
      <c r="T104" s="7">
        <v>0.995</v>
      </c>
      <c r="U104" s="7">
        <v>1.6259999999999999</v>
      </c>
      <c r="Z104" s="7" t="e" cm="1">
        <f t="array" ref="Z104">STABW</f>
        <v>#NAME?</v>
      </c>
      <c r="AC104" s="7" t="e">
        <f>Tabelle1563[[#This Row],[Standardabweichung 1]]/Tabelle1563[[#This Row],[Mean Visc. 1 '[mPas']]]</f>
        <v>#NAME?</v>
      </c>
      <c r="AD104" s="7" t="e">
        <f>Tabelle156[[#This Row],[Standardabweichung 2]]/Tabelle156[[#This Row],[Mean Visc. 2 '[mPas']2]]</f>
        <v>#VALUE!</v>
      </c>
      <c r="AE104" s="7" t="e">
        <f>Tabelle156[[#This Row],[Standardabweichung 3]]/Tabelle156[[#This Row],[Mean Visc. 3 '[mPas']3]]</f>
        <v>#VALUE!</v>
      </c>
      <c r="AG104" s="7" t="e">
        <f>1-Tabelle1563[[#This Row],[Mean Visc. 1 '[mPas']]]/#REF!</f>
        <v>#REF!</v>
      </c>
    </row>
    <row r="105" spans="1:35" s="7" customFormat="1" x14ac:dyDescent="0.3">
      <c r="A105">
        <v>104</v>
      </c>
      <c r="B105" s="4"/>
      <c r="C105" s="5"/>
      <c r="D105" s="7">
        <v>4</v>
      </c>
      <c r="E105" t="s">
        <v>169</v>
      </c>
      <c r="F105"/>
      <c r="G105" t="s">
        <v>161</v>
      </c>
      <c r="H105" s="11" t="s">
        <v>163</v>
      </c>
      <c r="I105" s="9" t="s">
        <v>12</v>
      </c>
      <c r="J105" s="7">
        <v>24.6</v>
      </c>
      <c r="K105" s="7">
        <v>10</v>
      </c>
      <c r="L105" s="7">
        <v>30.48</v>
      </c>
      <c r="M105" s="7">
        <v>381</v>
      </c>
      <c r="N105" s="7">
        <f>Tabelle1563[[#This Row],[Anzahl Frames]]/Tabelle1563[[#This Row],[Aufnahmezeit '[s']]]</f>
        <v>12.5</v>
      </c>
      <c r="O105" s="7">
        <f>1/Tabelle1563[[#This Row],[Mean fps ]]</f>
        <v>0.08</v>
      </c>
      <c r="P105" s="7">
        <v>40</v>
      </c>
      <c r="Q105" s="3"/>
      <c r="R105" s="11"/>
      <c r="S105" s="7">
        <v>1.081</v>
      </c>
      <c r="T105" s="7">
        <v>0.95099999999999996</v>
      </c>
      <c r="U105" s="7">
        <v>1.298</v>
      </c>
      <c r="Z105" s="7" t="e" cm="1">
        <f t="array" ref="Z105">STABW</f>
        <v>#NAME?</v>
      </c>
      <c r="AC105" s="7" t="e">
        <f>Tabelle1563[[#This Row],[Standardabweichung 1]]/Tabelle1563[[#This Row],[Mean Visc. 1 '[mPas']]]</f>
        <v>#NAME?</v>
      </c>
      <c r="AD105" s="7" t="e">
        <f>Tabelle156[[#This Row],[Standardabweichung 2]]/Tabelle156[[#This Row],[Mean Visc. 2 '[mPas']2]]</f>
        <v>#VALUE!</v>
      </c>
      <c r="AE105" s="7" t="e">
        <f>Tabelle156[[#This Row],[Standardabweichung 3]]/Tabelle156[[#This Row],[Mean Visc. 3 '[mPas']3]]</f>
        <v>#VALUE!</v>
      </c>
      <c r="AG105" s="7" t="e">
        <f>1-Tabelle1563[[#This Row],[Mean Visc. 1 '[mPas']]]/#REF!</f>
        <v>#REF!</v>
      </c>
    </row>
    <row r="106" spans="1:35" s="17" customFormat="1" ht="15" thickBot="1" x14ac:dyDescent="0.35">
      <c r="A106">
        <v>105</v>
      </c>
      <c r="B106" s="4"/>
      <c r="C106" s="5"/>
      <c r="D106" s="7">
        <v>4</v>
      </c>
      <c r="E106" t="s">
        <v>169</v>
      </c>
      <c r="F106"/>
      <c r="G106" t="s">
        <v>161</v>
      </c>
      <c r="H106" s="11" t="s">
        <v>163</v>
      </c>
      <c r="I106" s="9" t="s">
        <v>12</v>
      </c>
      <c r="J106" s="7">
        <v>24.6</v>
      </c>
      <c r="K106" s="7">
        <v>10</v>
      </c>
      <c r="L106" s="7">
        <v>30.8</v>
      </c>
      <c r="M106" s="7">
        <v>385</v>
      </c>
      <c r="N106" s="7">
        <f>Tabelle1563[[#This Row],[Anzahl Frames]]/Tabelle1563[[#This Row],[Aufnahmezeit '[s']]]</f>
        <v>12.5</v>
      </c>
      <c r="O106" s="7">
        <f>1/Tabelle1563[[#This Row],[Mean fps ]]</f>
        <v>0.08</v>
      </c>
      <c r="P106" s="7">
        <v>40</v>
      </c>
      <c r="Q106" s="3"/>
      <c r="R106" s="11"/>
      <c r="S106" s="7">
        <v>1.1719999999999999</v>
      </c>
      <c r="T106" s="7">
        <v>0.95699999999999996</v>
      </c>
      <c r="U106" s="7">
        <v>1.6040000000000001</v>
      </c>
      <c r="V106" s="7"/>
      <c r="W106" s="7"/>
      <c r="X106" s="7"/>
      <c r="Y106" s="7"/>
      <c r="Z106" s="7" t="e" cm="1">
        <f t="array" ref="Z106">STABW</f>
        <v>#NAME?</v>
      </c>
      <c r="AA106" s="7"/>
      <c r="AB106" s="7"/>
      <c r="AC106" s="7" t="e">
        <f>Tabelle1563[[#This Row],[Standardabweichung 1]]/Tabelle1563[[#This Row],[Mean Visc. 1 '[mPas']]]</f>
        <v>#NAME?</v>
      </c>
      <c r="AD106" s="7" t="e">
        <f>Tabelle156[[#This Row],[Standardabweichung 2]]/Tabelle156[[#This Row],[Mean Visc. 2 '[mPas']2]]</f>
        <v>#VALUE!</v>
      </c>
      <c r="AE106" s="7" t="e">
        <f>Tabelle156[[#This Row],[Standardabweichung 3]]/Tabelle156[[#This Row],[Mean Visc. 3 '[mPas']3]]</f>
        <v>#VALUE!</v>
      </c>
      <c r="AF106" s="7"/>
      <c r="AG106" s="7" t="e">
        <f>1-Tabelle1563[[#This Row],[Mean Visc. 1 '[mPas']]]/#REF!</f>
        <v>#REF!</v>
      </c>
      <c r="AH106" s="7"/>
      <c r="AI106" s="7"/>
    </row>
    <row r="107" spans="1:35" s="7" customFormat="1" ht="15" thickTop="1" x14ac:dyDescent="0.3">
      <c r="A107">
        <v>106</v>
      </c>
      <c r="B107" s="4"/>
      <c r="C107" s="5"/>
      <c r="D107" s="7">
        <v>4</v>
      </c>
      <c r="E107" t="s">
        <v>169</v>
      </c>
      <c r="F107"/>
      <c r="G107" t="s">
        <v>161</v>
      </c>
      <c r="H107" s="11" t="s">
        <v>163</v>
      </c>
      <c r="I107" s="9" t="s">
        <v>12</v>
      </c>
      <c r="J107" s="7">
        <v>24.6</v>
      </c>
      <c r="K107" s="7">
        <v>10</v>
      </c>
      <c r="L107" s="7">
        <v>32.880000000000003</v>
      </c>
      <c r="M107" s="7">
        <v>411</v>
      </c>
      <c r="N107" s="7">
        <f>Tabelle1563[[#This Row],[Anzahl Frames]]/Tabelle1563[[#This Row],[Aufnahmezeit '[s']]]</f>
        <v>12.499999999999998</v>
      </c>
      <c r="O107" s="7">
        <f>1/Tabelle1563[[#This Row],[Mean fps ]]</f>
        <v>8.0000000000000016E-2</v>
      </c>
      <c r="P107" s="7">
        <v>40</v>
      </c>
      <c r="Q107" s="3"/>
      <c r="R107" s="11"/>
      <c r="S107" s="7">
        <v>1.07</v>
      </c>
      <c r="T107" s="7">
        <v>0.95799999999999996</v>
      </c>
      <c r="U107" s="7">
        <v>1.5609999999999999</v>
      </c>
      <c r="Z107" s="7" t="e" cm="1">
        <f t="array" ref="Z107">STABW</f>
        <v>#NAME?</v>
      </c>
      <c r="AC107" s="7" t="e">
        <f>Tabelle1563[[#This Row],[Standardabweichung 1]]/Tabelle1563[[#This Row],[Mean Visc. 1 '[mPas']]]</f>
        <v>#NAME?</v>
      </c>
      <c r="AD107" s="7" t="e">
        <f>Tabelle156[[#This Row],[Standardabweichung 2]]/Tabelle156[[#This Row],[Mean Visc. 2 '[mPas']2]]</f>
        <v>#VALUE!</v>
      </c>
      <c r="AE107" s="7" t="e">
        <f>Tabelle156[[#This Row],[Standardabweichung 3]]/Tabelle156[[#This Row],[Mean Visc. 3 '[mPas']3]]</f>
        <v>#VALUE!</v>
      </c>
      <c r="AG107" s="7" t="e">
        <f>1-Tabelle1563[[#This Row],[Mean Visc. 1 '[mPas']]]/#REF!</f>
        <v>#REF!</v>
      </c>
    </row>
    <row r="108" spans="1:35" s="7" customFormat="1" x14ac:dyDescent="0.3">
      <c r="A108">
        <v>107</v>
      </c>
      <c r="B108" s="4"/>
      <c r="C108" s="5"/>
      <c r="D108" s="7">
        <v>4</v>
      </c>
      <c r="E108" t="s">
        <v>169</v>
      </c>
      <c r="F108"/>
      <c r="G108" t="s">
        <v>161</v>
      </c>
      <c r="H108" s="11" t="s">
        <v>163</v>
      </c>
      <c r="I108" s="9" t="s">
        <v>12</v>
      </c>
      <c r="J108" s="7">
        <v>24.6</v>
      </c>
      <c r="K108" s="7">
        <v>10</v>
      </c>
      <c r="L108" s="7">
        <v>30.16</v>
      </c>
      <c r="M108" s="7">
        <v>377</v>
      </c>
      <c r="N108" s="7">
        <f>Tabelle1563[[#This Row],[Anzahl Frames]]/Tabelle1563[[#This Row],[Aufnahmezeit '[s']]]</f>
        <v>12.5</v>
      </c>
      <c r="O108" s="7">
        <f>1/Tabelle1563[[#This Row],[Mean fps ]]</f>
        <v>0.08</v>
      </c>
      <c r="P108" s="7">
        <v>40</v>
      </c>
      <c r="Q108" s="3"/>
      <c r="R108" s="11"/>
      <c r="S108" s="7">
        <v>1.2669999999999999</v>
      </c>
      <c r="T108" s="7">
        <v>1.1559999999999999</v>
      </c>
      <c r="U108" s="7">
        <v>1.7070000000000001</v>
      </c>
      <c r="Z108" s="7" t="e" cm="1">
        <f t="array" ref="Z108">STABW</f>
        <v>#NAME?</v>
      </c>
      <c r="AC108" s="7" t="e">
        <f>Tabelle1563[[#This Row],[Standardabweichung 1]]/Tabelle1563[[#This Row],[Mean Visc. 1 '[mPas']]]</f>
        <v>#NAME?</v>
      </c>
      <c r="AD108" s="7" t="e">
        <f>Tabelle156[[#This Row],[Standardabweichung 2]]/Tabelle156[[#This Row],[Mean Visc. 2 '[mPas']2]]</f>
        <v>#VALUE!</v>
      </c>
      <c r="AE108" s="7" t="e">
        <f>Tabelle156[[#This Row],[Standardabweichung 3]]/Tabelle156[[#This Row],[Mean Visc. 3 '[mPas']3]]</f>
        <v>#VALUE!</v>
      </c>
      <c r="AG108" s="7" t="e">
        <f>1-Tabelle1563[[#This Row],[Mean Visc. 1 '[mPas']]]/#REF!</f>
        <v>#REF!</v>
      </c>
    </row>
    <row r="109" spans="1:35" s="7" customFormat="1" x14ac:dyDescent="0.3">
      <c r="A109">
        <v>108</v>
      </c>
      <c r="B109" s="4"/>
      <c r="C109" s="5"/>
      <c r="D109" s="7">
        <v>4</v>
      </c>
      <c r="E109" t="s">
        <v>169</v>
      </c>
      <c r="F109"/>
      <c r="G109" t="s">
        <v>161</v>
      </c>
      <c r="H109" s="11" t="s">
        <v>163</v>
      </c>
      <c r="I109" s="9" t="s">
        <v>12</v>
      </c>
      <c r="J109" s="7">
        <v>24.6</v>
      </c>
      <c r="K109" s="7">
        <v>10</v>
      </c>
      <c r="L109" s="7">
        <v>30.08</v>
      </c>
      <c r="M109" s="7">
        <v>376</v>
      </c>
      <c r="N109" s="7">
        <f>Tabelle1563[[#This Row],[Anzahl Frames]]/Tabelle1563[[#This Row],[Aufnahmezeit '[s']]]</f>
        <v>12.5</v>
      </c>
      <c r="O109" s="7">
        <f>1/Tabelle1563[[#This Row],[Mean fps ]]</f>
        <v>0.08</v>
      </c>
      <c r="P109" s="7">
        <v>40</v>
      </c>
      <c r="Q109" s="3"/>
      <c r="R109" s="11"/>
      <c r="S109" s="7">
        <v>1.153</v>
      </c>
      <c r="T109" s="7">
        <v>0.97899999999999998</v>
      </c>
      <c r="U109" s="7">
        <v>1.5009999999999999</v>
      </c>
      <c r="Z109" s="7" t="e" cm="1">
        <f t="array" ref="Z109">STABW</f>
        <v>#NAME?</v>
      </c>
      <c r="AC109" s="7" t="e">
        <f>Tabelle1563[[#This Row],[Standardabweichung 1]]/Tabelle1563[[#This Row],[Mean Visc. 1 '[mPas']]]</f>
        <v>#NAME?</v>
      </c>
      <c r="AD109" s="7" t="e">
        <f>Tabelle156[[#This Row],[Standardabweichung 2]]/Tabelle156[[#This Row],[Mean Visc. 2 '[mPas']2]]</f>
        <v>#VALUE!</v>
      </c>
      <c r="AE109" s="7" t="e">
        <f>Tabelle156[[#This Row],[Standardabweichung 3]]/Tabelle156[[#This Row],[Mean Visc. 3 '[mPas']3]]</f>
        <v>#VALUE!</v>
      </c>
      <c r="AG109" s="7" t="e">
        <f>1-Tabelle1563[[#This Row],[Mean Visc. 1 '[mPas']]]/#REF!</f>
        <v>#REF!</v>
      </c>
    </row>
    <row r="110" spans="1:35" s="7" customFormat="1" x14ac:dyDescent="0.3">
      <c r="A110">
        <v>109</v>
      </c>
      <c r="B110" s="4"/>
      <c r="C110" s="5"/>
      <c r="D110" s="7">
        <v>4</v>
      </c>
      <c r="E110" t="s">
        <v>169</v>
      </c>
      <c r="F110"/>
      <c r="G110" t="s">
        <v>161</v>
      </c>
      <c r="H110" s="11" t="s">
        <v>163</v>
      </c>
      <c r="I110" s="9" t="s">
        <v>12</v>
      </c>
      <c r="J110" s="7">
        <v>24.6</v>
      </c>
      <c r="K110" s="7">
        <v>10</v>
      </c>
      <c r="L110" s="7">
        <v>30.56</v>
      </c>
      <c r="M110" s="7">
        <v>382</v>
      </c>
      <c r="N110" s="7">
        <f>Tabelle1563[[#This Row],[Anzahl Frames]]/Tabelle1563[[#This Row],[Aufnahmezeit '[s']]]</f>
        <v>12.5</v>
      </c>
      <c r="O110" s="7">
        <f>1/Tabelle1563[[#This Row],[Mean fps ]]</f>
        <v>0.08</v>
      </c>
      <c r="P110" s="7">
        <v>40</v>
      </c>
      <c r="Q110" s="3"/>
      <c r="R110" s="11"/>
      <c r="S110" s="7">
        <v>1.0329999999999999</v>
      </c>
      <c r="T110" s="7">
        <v>0.84199999999999997</v>
      </c>
      <c r="U110" s="7">
        <v>1.46</v>
      </c>
      <c r="Z110" s="7" t="e" cm="1">
        <f t="array" ref="Z110">STABW</f>
        <v>#NAME?</v>
      </c>
      <c r="AC110" s="7" t="e">
        <f>Tabelle1563[[#This Row],[Standardabweichung 1]]/Tabelle1563[[#This Row],[Mean Visc. 1 '[mPas']]]</f>
        <v>#NAME?</v>
      </c>
      <c r="AD110" s="7" t="e">
        <f>Tabelle156[[#This Row],[Standardabweichung 2]]/Tabelle156[[#This Row],[Mean Visc. 2 '[mPas']2]]</f>
        <v>#VALUE!</v>
      </c>
      <c r="AE110" s="7" t="e">
        <f>Tabelle156[[#This Row],[Standardabweichung 3]]/Tabelle156[[#This Row],[Mean Visc. 3 '[mPas']3]]</f>
        <v>#VALUE!</v>
      </c>
      <c r="AG110" s="7" t="e">
        <f>1-Tabelle1563[[#This Row],[Mean Visc. 1 '[mPas']]]/#REF!</f>
        <v>#REF!</v>
      </c>
    </row>
    <row r="111" spans="1:35" s="17" customFormat="1" ht="15" thickBot="1" x14ac:dyDescent="0.35">
      <c r="A111">
        <v>110</v>
      </c>
      <c r="B111" s="15"/>
      <c r="C111" s="16"/>
      <c r="D111" s="7">
        <v>4</v>
      </c>
      <c r="E111" s="14" t="s">
        <v>169</v>
      </c>
      <c r="F111" s="14"/>
      <c r="G111" s="14" t="s">
        <v>161</v>
      </c>
      <c r="H111" s="21" t="s">
        <v>163</v>
      </c>
      <c r="I111" s="19" t="s">
        <v>12</v>
      </c>
      <c r="J111" s="17">
        <v>24.7</v>
      </c>
      <c r="K111" s="17">
        <v>10</v>
      </c>
      <c r="L111" s="17">
        <v>31.44</v>
      </c>
      <c r="M111" s="17">
        <v>393</v>
      </c>
      <c r="N111" s="17">
        <f>Tabelle1563[[#This Row],[Anzahl Frames]]/Tabelle1563[[#This Row],[Aufnahmezeit '[s']]]</f>
        <v>12.5</v>
      </c>
      <c r="O111" s="17">
        <f>1/Tabelle1563[[#This Row],[Mean fps ]]</f>
        <v>0.08</v>
      </c>
      <c r="P111" s="17">
        <v>40</v>
      </c>
      <c r="Q111" s="20"/>
      <c r="R111" s="21"/>
      <c r="S111" s="17">
        <v>1.1359999999999999</v>
      </c>
      <c r="T111" s="17">
        <v>0.94899999999999995</v>
      </c>
      <c r="U111" s="17">
        <v>1.663</v>
      </c>
      <c r="W111" s="7">
        <f>SUM(S102:S111)/10</f>
        <v>1.1373</v>
      </c>
      <c r="X111" s="7">
        <f>SUM(T102:T111)/10</f>
        <v>0.97019999999999995</v>
      </c>
      <c r="Y111" s="7">
        <f t="shared" ref="Y111" si="30">SUM(U102:U111)/10</f>
        <v>1.5535000000000001</v>
      </c>
      <c r="Z111" s="17">
        <f>_xlfn.STDEV.S(S102:S111)</f>
        <v>6.5571081024081518E-2</v>
      </c>
      <c r="AA111" s="17">
        <f t="shared" ref="AA111" si="31">_xlfn.STDEV.S(T102:T111)</f>
        <v>7.6829971003798E-2</v>
      </c>
      <c r="AB111" s="17">
        <f>_xlfn.STDEV.S(U102:U111)</f>
        <v>0.11580946996395992</v>
      </c>
      <c r="AC111" s="17">
        <f>Tabelle1563[[#This Row],[Standardabweichung 1]]/Tabelle1563[[#This Row],[Mean Visc. 1 '[mPas']]]</f>
        <v>5.7655043545310404E-2</v>
      </c>
      <c r="AD111" s="17">
        <f>Tabelle1563[[#This Row],[Standardabweichung 2]]/Tabelle1563[[#This Row],[Mean Visc. 2 '[mPas']2]]</f>
        <v>7.9189827874456817E-2</v>
      </c>
      <c r="AE111" s="17">
        <f>Tabelle1563[[#This Row],[Standardabweichung 3]]/Tabelle1563[[#This Row],[Mean Visc. 3 '[mPas']3]]</f>
        <v>7.4547454112623049E-2</v>
      </c>
      <c r="AG111" s="17" t="e">
        <f>1-Tabelle1563[[#This Row],[Mean Visc. 1 '[mPas']]]/#REF!</f>
        <v>#REF!</v>
      </c>
    </row>
    <row r="112" spans="1:35" s="7" customFormat="1" ht="15" thickTop="1" x14ac:dyDescent="0.3">
      <c r="A112">
        <v>111</v>
      </c>
      <c r="B112" s="4"/>
      <c r="C112" s="5"/>
      <c r="D112" s="7">
        <v>4</v>
      </c>
      <c r="E112" t="s">
        <v>169</v>
      </c>
      <c r="F112"/>
      <c r="G112" t="s">
        <v>161</v>
      </c>
      <c r="H112" s="11" t="s">
        <v>164</v>
      </c>
      <c r="I112" s="9" t="s">
        <v>12</v>
      </c>
      <c r="J112" s="7">
        <v>22</v>
      </c>
      <c r="K112" s="7">
        <v>14</v>
      </c>
      <c r="L112" s="7">
        <v>30.59</v>
      </c>
      <c r="M112" s="7">
        <v>387</v>
      </c>
      <c r="N112" s="7">
        <f>Tabelle1563[[#This Row],[Anzahl Frames]]/Tabelle1563[[#This Row],[Aufnahmezeit '[s']]]</f>
        <v>12.651193200392285</v>
      </c>
      <c r="O112" s="7">
        <f>1/Tabelle1563[[#This Row],[Mean fps ]]</f>
        <v>7.9043927648578816E-2</v>
      </c>
      <c r="P112" s="7">
        <v>40</v>
      </c>
      <c r="Q112" s="3"/>
      <c r="R112" s="11"/>
      <c r="S112" s="7">
        <v>1.1419999999999999</v>
      </c>
      <c r="T112" s="7">
        <v>1.0189999999999999</v>
      </c>
      <c r="U112" s="7">
        <v>1.599</v>
      </c>
      <c r="Z112" s="7" t="e" cm="1">
        <f t="array" ref="Z112">STABW</f>
        <v>#NAME?</v>
      </c>
      <c r="AC112" s="7" t="e">
        <f>Tabelle1563[[#This Row],[Standardabweichung 1]]/Tabelle1563[[#This Row],[Mean Visc. 1 '[mPas']]]</f>
        <v>#NAME?</v>
      </c>
      <c r="AD112" s="7" t="e">
        <f>Tabelle156[[#This Row],[Standardabweichung 2]]/Tabelle156[[#This Row],[Mean Visc. 2 '[mPas']2]]</f>
        <v>#VALUE!</v>
      </c>
      <c r="AE112" s="7" t="e">
        <f>Tabelle156[[#This Row],[Standardabweichung 3]]/Tabelle156[[#This Row],[Mean Visc. 3 '[mPas']3]]</f>
        <v>#VALUE!</v>
      </c>
      <c r="AG112" s="7" t="e">
        <f>1-Tabelle1563[[#This Row],[Mean Visc. 1 '[mPas']]]/#REF!</f>
        <v>#REF!</v>
      </c>
    </row>
    <row r="113" spans="1:33" s="7" customFormat="1" x14ac:dyDescent="0.3">
      <c r="A113">
        <v>112</v>
      </c>
      <c r="B113" s="4"/>
      <c r="C113" s="5"/>
      <c r="D113" s="7">
        <v>4</v>
      </c>
      <c r="E113" t="s">
        <v>169</v>
      </c>
      <c r="F113"/>
      <c r="G113" t="s">
        <v>161</v>
      </c>
      <c r="H113" s="11" t="s">
        <v>164</v>
      </c>
      <c r="I113" s="9" t="s">
        <v>12</v>
      </c>
      <c r="J113" s="7">
        <v>21.9</v>
      </c>
      <c r="K113" s="7">
        <v>14</v>
      </c>
      <c r="L113" s="7">
        <v>30</v>
      </c>
      <c r="M113" s="7">
        <v>375</v>
      </c>
      <c r="N113" s="7">
        <f>Tabelle1563[[#This Row],[Anzahl Frames]]/Tabelle1563[[#This Row],[Aufnahmezeit '[s']]]</f>
        <v>12.5</v>
      </c>
      <c r="O113" s="7">
        <f>1/Tabelle1563[[#This Row],[Mean fps ]]</f>
        <v>0.08</v>
      </c>
      <c r="P113" s="7">
        <v>40</v>
      </c>
      <c r="Q113" s="3"/>
      <c r="R113" s="11"/>
      <c r="S113" s="7">
        <v>1.026</v>
      </c>
      <c r="T113" s="7">
        <v>0.86099999999999999</v>
      </c>
      <c r="U113" s="7">
        <v>1.5029999999999999</v>
      </c>
      <c r="Z113" s="7" t="e" cm="1">
        <f t="array" ref="Z113">STABW</f>
        <v>#NAME?</v>
      </c>
      <c r="AC113" s="7" t="e">
        <f>Tabelle1563[[#This Row],[Standardabweichung 1]]/Tabelle1563[[#This Row],[Mean Visc. 1 '[mPas']]]</f>
        <v>#NAME?</v>
      </c>
      <c r="AD113" s="7" t="e">
        <f>Tabelle156[[#This Row],[Standardabweichung 2]]/Tabelle156[[#This Row],[Mean Visc. 2 '[mPas']2]]</f>
        <v>#VALUE!</v>
      </c>
      <c r="AE113" s="7" t="e">
        <f>Tabelle156[[#This Row],[Standardabweichung 3]]/Tabelle156[[#This Row],[Mean Visc. 3 '[mPas']3]]</f>
        <v>#VALUE!</v>
      </c>
      <c r="AG113" s="7" t="e">
        <f>1-Tabelle1563[[#This Row],[Mean Visc. 1 '[mPas']]]/#REF!</f>
        <v>#REF!</v>
      </c>
    </row>
    <row r="114" spans="1:33" s="7" customFormat="1" x14ac:dyDescent="0.3">
      <c r="A114">
        <v>113</v>
      </c>
      <c r="B114" s="4"/>
      <c r="C114" s="5"/>
      <c r="D114" s="7">
        <v>4</v>
      </c>
      <c r="E114" t="s">
        <v>169</v>
      </c>
      <c r="F114"/>
      <c r="G114" t="s">
        <v>161</v>
      </c>
      <c r="H114" s="11" t="s">
        <v>164</v>
      </c>
      <c r="I114" s="9" t="s">
        <v>12</v>
      </c>
      <c r="J114" s="7">
        <v>21.8</v>
      </c>
      <c r="K114" s="7">
        <v>14</v>
      </c>
      <c r="L114" s="7">
        <v>30.64</v>
      </c>
      <c r="M114" s="7">
        <v>383</v>
      </c>
      <c r="N114" s="7">
        <f>Tabelle1563[[#This Row],[Anzahl Frames]]/Tabelle1563[[#This Row],[Aufnahmezeit '[s']]]</f>
        <v>12.5</v>
      </c>
      <c r="O114" s="7">
        <f>1/Tabelle1563[[#This Row],[Mean fps ]]</f>
        <v>0.08</v>
      </c>
      <c r="P114" s="7">
        <v>40</v>
      </c>
      <c r="Q114" s="3"/>
      <c r="R114" s="11"/>
      <c r="S114" s="7">
        <v>1.0429999999999999</v>
      </c>
      <c r="T114" s="7">
        <v>0.91900000000000004</v>
      </c>
      <c r="U114" s="7">
        <v>1.5349999999999999</v>
      </c>
      <c r="Z114" s="7" t="e" cm="1">
        <f t="array" ref="Z114">STABW</f>
        <v>#NAME?</v>
      </c>
      <c r="AC114" s="7" t="e">
        <f>Tabelle1563[[#This Row],[Standardabweichung 1]]/Tabelle1563[[#This Row],[Mean Visc. 1 '[mPas']]]</f>
        <v>#NAME?</v>
      </c>
      <c r="AD114" s="7" t="e">
        <f>Tabelle156[[#This Row],[Standardabweichung 2]]/Tabelle156[[#This Row],[Mean Visc. 2 '[mPas']2]]</f>
        <v>#VALUE!</v>
      </c>
      <c r="AE114" s="7" t="e">
        <f>Tabelle156[[#This Row],[Standardabweichung 3]]/Tabelle156[[#This Row],[Mean Visc. 3 '[mPas']3]]</f>
        <v>#VALUE!</v>
      </c>
      <c r="AG114" s="7" t="e">
        <f>1-Tabelle1563[[#This Row],[Mean Visc. 1 '[mPas']]]/#REF!</f>
        <v>#REF!</v>
      </c>
    </row>
    <row r="115" spans="1:33" s="7" customFormat="1" x14ac:dyDescent="0.3">
      <c r="A115">
        <v>114</v>
      </c>
      <c r="B115" s="4"/>
      <c r="C115" s="5"/>
      <c r="D115" s="7">
        <v>4</v>
      </c>
      <c r="E115" t="s">
        <v>169</v>
      </c>
      <c r="F115"/>
      <c r="G115" t="s">
        <v>161</v>
      </c>
      <c r="H115" s="11" t="s">
        <v>164</v>
      </c>
      <c r="I115" s="9" t="s">
        <v>12</v>
      </c>
      <c r="J115" s="7">
        <v>21.7</v>
      </c>
      <c r="K115" s="7">
        <v>14</v>
      </c>
      <c r="L115" s="7">
        <v>29.68</v>
      </c>
      <c r="M115" s="7">
        <v>372</v>
      </c>
      <c r="N115" s="7">
        <f>Tabelle1563[[#This Row],[Anzahl Frames]]/Tabelle1563[[#This Row],[Aufnahmezeit '[s']]]</f>
        <v>12.533692722371967</v>
      </c>
      <c r="O115" s="7">
        <f>1/Tabelle1563[[#This Row],[Mean fps ]]</f>
        <v>7.9784946236559143E-2</v>
      </c>
      <c r="P115" s="7">
        <v>40</v>
      </c>
      <c r="Q115" s="3"/>
      <c r="R115" s="11"/>
      <c r="S115" s="7">
        <v>1.113</v>
      </c>
      <c r="T115" s="7">
        <v>1.002</v>
      </c>
      <c r="U115" s="7">
        <v>1.655</v>
      </c>
      <c r="Z115" s="7" t="e" cm="1">
        <f t="array" ref="Z115">STABW</f>
        <v>#NAME?</v>
      </c>
      <c r="AC115" s="7" t="e">
        <f>Tabelle1563[[#This Row],[Standardabweichung 1]]/Tabelle1563[[#This Row],[Mean Visc. 1 '[mPas']]]</f>
        <v>#NAME?</v>
      </c>
      <c r="AD115" s="7" t="e">
        <f>Tabelle156[[#This Row],[Standardabweichung 2]]/Tabelle156[[#This Row],[Mean Visc. 2 '[mPas']2]]</f>
        <v>#VALUE!</v>
      </c>
      <c r="AE115" s="7" t="e">
        <f>Tabelle156[[#This Row],[Standardabweichung 3]]/Tabelle156[[#This Row],[Mean Visc. 3 '[mPas']3]]</f>
        <v>#VALUE!</v>
      </c>
      <c r="AG115" s="7" t="e">
        <f>1-Tabelle1563[[#This Row],[Mean Visc. 1 '[mPas']]]/#REF!</f>
        <v>#REF!</v>
      </c>
    </row>
    <row r="116" spans="1:33" s="17" customFormat="1" ht="15" thickBot="1" x14ac:dyDescent="0.35">
      <c r="A116">
        <v>115</v>
      </c>
      <c r="B116" s="15"/>
      <c r="C116" s="16"/>
      <c r="D116" s="7">
        <v>4</v>
      </c>
      <c r="E116" s="14" t="s">
        <v>169</v>
      </c>
      <c r="F116" s="14"/>
      <c r="G116" s="14" t="s">
        <v>161</v>
      </c>
      <c r="H116" s="21" t="s">
        <v>164</v>
      </c>
      <c r="I116" s="19" t="s">
        <v>12</v>
      </c>
      <c r="J116" s="17">
        <v>21.7</v>
      </c>
      <c r="K116" s="17">
        <v>14</v>
      </c>
      <c r="L116" s="17">
        <v>30.4</v>
      </c>
      <c r="M116" s="17">
        <v>380</v>
      </c>
      <c r="N116" s="17">
        <f>Tabelle1563[[#This Row],[Anzahl Frames]]/Tabelle1563[[#This Row],[Aufnahmezeit '[s']]]</f>
        <v>12.5</v>
      </c>
      <c r="O116" s="17">
        <f>1/Tabelle1563[[#This Row],[Mean fps ]]</f>
        <v>0.08</v>
      </c>
      <c r="P116" s="17">
        <v>40</v>
      </c>
      <c r="Q116" s="20"/>
      <c r="R116" s="21"/>
      <c r="S116" s="17">
        <v>1.1439999999999999</v>
      </c>
      <c r="T116" s="17">
        <v>0.997</v>
      </c>
      <c r="U116" s="17">
        <v>1.6539999999999999</v>
      </c>
      <c r="Z116" s="17" t="e" cm="1">
        <f t="array" ref="Z116">STABW</f>
        <v>#NAME?</v>
      </c>
      <c r="AC116" s="17" t="e">
        <f>Tabelle1563[[#This Row],[Standardabweichung 1]]/Tabelle1563[[#This Row],[Mean Visc. 1 '[mPas']]]</f>
        <v>#NAME?</v>
      </c>
      <c r="AD116" s="17" t="e">
        <f>Tabelle156[[#This Row],[Standardabweichung 2]]/Tabelle156[[#This Row],[Mean Visc. 2 '[mPas']2]]</f>
        <v>#VALUE!</v>
      </c>
      <c r="AE116" s="17" t="e">
        <f>Tabelle156[[#This Row],[Standardabweichung 3]]/Tabelle156[[#This Row],[Mean Visc. 3 '[mPas']3]]</f>
        <v>#VALUE!</v>
      </c>
      <c r="AG116" s="17" t="e">
        <f>1-Tabelle1563[[#This Row],[Mean Visc. 1 '[mPas']]]/#REF!</f>
        <v>#REF!</v>
      </c>
    </row>
    <row r="117" spans="1:33" s="7" customFormat="1" ht="15" thickTop="1" x14ac:dyDescent="0.3">
      <c r="A117">
        <v>116</v>
      </c>
      <c r="B117" s="4"/>
      <c r="C117" s="5"/>
      <c r="D117" s="7">
        <v>4</v>
      </c>
      <c r="E117" t="s">
        <v>169</v>
      </c>
      <c r="F117"/>
      <c r="G117" t="s">
        <v>161</v>
      </c>
      <c r="H117" s="11" t="s">
        <v>164</v>
      </c>
      <c r="I117" s="9" t="s">
        <v>12</v>
      </c>
      <c r="J117" s="7">
        <v>21.7</v>
      </c>
      <c r="K117" s="7">
        <v>14</v>
      </c>
      <c r="L117" s="7">
        <v>32.31</v>
      </c>
      <c r="M117" s="7">
        <v>404</v>
      </c>
      <c r="N117" s="7">
        <f>Tabelle1563[[#This Row],[Anzahl Frames]]/Tabelle1563[[#This Row],[Aufnahmezeit '[s']]]</f>
        <v>12.503868771278242</v>
      </c>
      <c r="O117" s="7">
        <f>1/Tabelle1563[[#This Row],[Mean fps ]]</f>
        <v>7.9975247524752477E-2</v>
      </c>
      <c r="P117" s="7">
        <v>40</v>
      </c>
      <c r="Q117" s="3"/>
      <c r="R117" s="11"/>
      <c r="S117" s="7">
        <v>1.1200000000000001</v>
      </c>
      <c r="T117" s="7">
        <v>0.94799999999999995</v>
      </c>
      <c r="U117" s="7">
        <v>1.5629999999999999</v>
      </c>
      <c r="Z117" s="7" t="e" cm="1">
        <f t="array" ref="Z117">STABW</f>
        <v>#NAME?</v>
      </c>
      <c r="AC117" s="7" t="e">
        <f>Tabelle1563[[#This Row],[Standardabweichung 1]]/Tabelle1563[[#This Row],[Mean Visc. 1 '[mPas']]]</f>
        <v>#NAME?</v>
      </c>
      <c r="AD117" s="7" t="e">
        <f>Tabelle156[[#This Row],[Standardabweichung 2]]/Tabelle156[[#This Row],[Mean Visc. 2 '[mPas']2]]</f>
        <v>#VALUE!</v>
      </c>
      <c r="AE117" s="7" t="e">
        <f>Tabelle156[[#This Row],[Standardabweichung 3]]/Tabelle156[[#This Row],[Mean Visc. 3 '[mPas']3]]</f>
        <v>#VALUE!</v>
      </c>
      <c r="AG117" s="7" t="e">
        <f>1-Tabelle1563[[#This Row],[Mean Visc. 1 '[mPas']]]/#REF!</f>
        <v>#REF!</v>
      </c>
    </row>
    <row r="118" spans="1:33" s="7" customFormat="1" x14ac:dyDescent="0.3">
      <c r="A118">
        <v>117</v>
      </c>
      <c r="B118" s="4"/>
      <c r="C118" s="5"/>
      <c r="D118" s="7">
        <v>4</v>
      </c>
      <c r="E118" t="s">
        <v>169</v>
      </c>
      <c r="F118"/>
      <c r="G118" t="s">
        <v>161</v>
      </c>
      <c r="H118" s="11" t="s">
        <v>164</v>
      </c>
      <c r="I118" s="9" t="s">
        <v>12</v>
      </c>
      <c r="J118" s="7">
        <v>21.7</v>
      </c>
      <c r="K118" s="7">
        <v>14</v>
      </c>
      <c r="L118" s="7">
        <v>29.76</v>
      </c>
      <c r="M118" s="7">
        <v>372</v>
      </c>
      <c r="N118" s="7">
        <f>Tabelle1563[[#This Row],[Anzahl Frames]]/Tabelle1563[[#This Row],[Aufnahmezeit '[s']]]</f>
        <v>12.5</v>
      </c>
      <c r="O118" s="7">
        <f>1/Tabelle1563[[#This Row],[Mean fps ]]</f>
        <v>0.08</v>
      </c>
      <c r="P118" s="7">
        <v>40</v>
      </c>
      <c r="Q118" s="3"/>
      <c r="R118" s="11"/>
      <c r="S118" s="7">
        <v>1.1679999999999999</v>
      </c>
      <c r="T118" s="7">
        <v>0.96699999999999997</v>
      </c>
      <c r="U118" s="7">
        <v>1.675</v>
      </c>
      <c r="Z118" s="7" t="e" cm="1">
        <f t="array" ref="Z118">STABW</f>
        <v>#NAME?</v>
      </c>
      <c r="AC118" s="7" t="e">
        <f>Tabelle1563[[#This Row],[Standardabweichung 1]]/Tabelle1563[[#This Row],[Mean Visc. 1 '[mPas']]]</f>
        <v>#NAME?</v>
      </c>
      <c r="AD118" s="7" t="e">
        <f>Tabelle156[[#This Row],[Standardabweichung 2]]/Tabelle156[[#This Row],[Mean Visc. 2 '[mPas']2]]</f>
        <v>#VALUE!</v>
      </c>
      <c r="AE118" s="7" t="e">
        <f>Tabelle156[[#This Row],[Standardabweichung 3]]/Tabelle156[[#This Row],[Mean Visc. 3 '[mPas']3]]</f>
        <v>#VALUE!</v>
      </c>
      <c r="AG118" s="7" t="e">
        <f>1-Tabelle1563[[#This Row],[Mean Visc. 1 '[mPas']]]/#REF!</f>
        <v>#REF!</v>
      </c>
    </row>
    <row r="119" spans="1:33" s="7" customFormat="1" x14ac:dyDescent="0.3">
      <c r="A119">
        <v>118</v>
      </c>
      <c r="B119" s="4"/>
      <c r="C119" s="5"/>
      <c r="D119" s="7">
        <v>4</v>
      </c>
      <c r="E119" t="s">
        <v>169</v>
      </c>
      <c r="F119"/>
      <c r="G119" t="s">
        <v>161</v>
      </c>
      <c r="H119" s="11" t="s">
        <v>164</v>
      </c>
      <c r="I119" s="9" t="s">
        <v>12</v>
      </c>
      <c r="J119" s="7">
        <v>21.8</v>
      </c>
      <c r="K119" s="7">
        <v>14</v>
      </c>
      <c r="L119" s="7">
        <v>30.72</v>
      </c>
      <c r="M119" s="7">
        <v>385</v>
      </c>
      <c r="N119" s="7">
        <f>Tabelle1563[[#This Row],[Anzahl Frames]]/Tabelle1563[[#This Row],[Aufnahmezeit '[s']]]</f>
        <v>12.532552083333334</v>
      </c>
      <c r="O119" s="7">
        <f>1/Tabelle1563[[#This Row],[Mean fps ]]</f>
        <v>7.9792207792207789E-2</v>
      </c>
      <c r="P119" s="7">
        <v>40</v>
      </c>
      <c r="Q119" s="3"/>
      <c r="R119" s="11"/>
      <c r="S119" s="7">
        <v>1.0920000000000001</v>
      </c>
      <c r="T119" s="7">
        <v>0.93200000000000005</v>
      </c>
      <c r="U119" s="7">
        <v>1.613</v>
      </c>
      <c r="Z119" s="7" t="e" cm="1">
        <f t="array" ref="Z119">STABW</f>
        <v>#NAME?</v>
      </c>
      <c r="AC119" s="7" t="e">
        <f>Tabelle1563[[#This Row],[Standardabweichung 1]]/Tabelle1563[[#This Row],[Mean Visc. 1 '[mPas']]]</f>
        <v>#NAME?</v>
      </c>
      <c r="AD119" s="7" t="e">
        <f>Tabelle156[[#This Row],[Standardabweichung 2]]/Tabelle156[[#This Row],[Mean Visc. 2 '[mPas']2]]</f>
        <v>#VALUE!</v>
      </c>
      <c r="AE119" s="7" t="e">
        <f>Tabelle156[[#This Row],[Standardabweichung 3]]/Tabelle156[[#This Row],[Mean Visc. 3 '[mPas']3]]</f>
        <v>#VALUE!</v>
      </c>
      <c r="AG119" s="7" t="e">
        <f>1-Tabelle1563[[#This Row],[Mean Visc. 1 '[mPas']]]/#REF!</f>
        <v>#REF!</v>
      </c>
    </row>
    <row r="120" spans="1:33" s="7" customFormat="1" x14ac:dyDescent="0.3">
      <c r="A120">
        <v>119</v>
      </c>
      <c r="B120" s="4"/>
      <c r="C120" s="5"/>
      <c r="D120" s="7">
        <v>4</v>
      </c>
      <c r="E120" t="s">
        <v>169</v>
      </c>
      <c r="F120"/>
      <c r="G120" t="s">
        <v>161</v>
      </c>
      <c r="H120" s="11" t="s">
        <v>164</v>
      </c>
      <c r="I120" s="9" t="s">
        <v>12</v>
      </c>
      <c r="J120" s="7">
        <v>21.8</v>
      </c>
      <c r="K120" s="7">
        <v>14</v>
      </c>
      <c r="L120" s="7">
        <v>29.84</v>
      </c>
      <c r="M120" s="7">
        <v>373</v>
      </c>
      <c r="N120" s="7">
        <f>Tabelle1563[[#This Row],[Anzahl Frames]]/Tabelle1563[[#This Row],[Aufnahmezeit '[s']]]</f>
        <v>12.5</v>
      </c>
      <c r="O120" s="7">
        <f>1/Tabelle1563[[#This Row],[Mean fps ]]</f>
        <v>0.08</v>
      </c>
      <c r="P120" s="7">
        <v>40</v>
      </c>
      <c r="Q120" s="3"/>
      <c r="R120" s="11"/>
      <c r="S120" s="7">
        <v>1.113</v>
      </c>
      <c r="T120" s="7">
        <v>0.99199999999999999</v>
      </c>
      <c r="U120" s="7">
        <v>1.62</v>
      </c>
      <c r="Z120" s="7" t="e" cm="1">
        <f t="array" ref="Z120">STABW</f>
        <v>#NAME?</v>
      </c>
      <c r="AC120" s="7" t="e">
        <f>Tabelle1563[[#This Row],[Standardabweichung 1]]/Tabelle1563[[#This Row],[Mean Visc. 1 '[mPas']]]</f>
        <v>#NAME?</v>
      </c>
      <c r="AD120" s="7" t="e">
        <f>Tabelle156[[#This Row],[Standardabweichung 2]]/Tabelle156[[#This Row],[Mean Visc. 2 '[mPas']2]]</f>
        <v>#VALUE!</v>
      </c>
      <c r="AE120" s="7" t="e">
        <f>Tabelle156[[#This Row],[Standardabweichung 3]]/Tabelle156[[#This Row],[Mean Visc. 3 '[mPas']3]]</f>
        <v>#VALUE!</v>
      </c>
      <c r="AG120" s="7" t="e">
        <f>1-Tabelle1563[[#This Row],[Mean Visc. 1 '[mPas']]]/#REF!</f>
        <v>#REF!</v>
      </c>
    </row>
    <row r="121" spans="1:33" s="17" customFormat="1" ht="15" thickBot="1" x14ac:dyDescent="0.35">
      <c r="A121">
        <v>120</v>
      </c>
      <c r="B121" s="15"/>
      <c r="C121" s="16"/>
      <c r="D121" s="7">
        <v>4</v>
      </c>
      <c r="E121" s="14" t="s">
        <v>169</v>
      </c>
      <c r="F121" s="14"/>
      <c r="G121" s="14" t="s">
        <v>161</v>
      </c>
      <c r="H121" s="21" t="s">
        <v>164</v>
      </c>
      <c r="I121" s="19" t="s">
        <v>12</v>
      </c>
      <c r="J121" s="17">
        <v>21.9</v>
      </c>
      <c r="K121" s="17">
        <v>14</v>
      </c>
      <c r="L121" s="17">
        <v>30.4</v>
      </c>
      <c r="M121" s="17">
        <v>380</v>
      </c>
      <c r="N121" s="17">
        <f>Tabelle1563[[#This Row],[Anzahl Frames]]/Tabelle1563[[#This Row],[Aufnahmezeit '[s']]]</f>
        <v>12.5</v>
      </c>
      <c r="O121" s="17">
        <f>1/Tabelle1563[[#This Row],[Mean fps ]]</f>
        <v>0.08</v>
      </c>
      <c r="P121" s="17">
        <v>40</v>
      </c>
      <c r="Q121" s="20"/>
      <c r="R121" s="21"/>
      <c r="S121" s="17">
        <v>1.198</v>
      </c>
      <c r="T121" s="17">
        <v>0.95799999999999996</v>
      </c>
      <c r="U121" s="17">
        <v>1.663</v>
      </c>
      <c r="W121" s="7">
        <f>SUM(S112:S121)/10</f>
        <v>1.1159000000000001</v>
      </c>
      <c r="X121" s="7">
        <f>SUM(T112:T121)/10</f>
        <v>0.95950000000000002</v>
      </c>
      <c r="Y121" s="7">
        <f t="shared" ref="Y121" si="32">SUM(U112:U121)/10</f>
        <v>1.6080000000000001</v>
      </c>
      <c r="Z121" s="17">
        <f>_xlfn.STDEV.S(S112:S121)</f>
        <v>5.2627517094724824E-2</v>
      </c>
      <c r="AA121" s="17">
        <f t="shared" ref="AA121" si="33">_xlfn.STDEV.S(T112:T121)</f>
        <v>4.7256392865586611E-2</v>
      </c>
      <c r="AB121" s="17">
        <f>_xlfn.STDEV.S(U112:U121)</f>
        <v>5.8183617396423012E-2</v>
      </c>
      <c r="AC121" s="17">
        <f>Tabelle1563[[#This Row],[Standardabweichung 1]]/Tabelle1563[[#This Row],[Mean Visc. 1 '[mPas']]]</f>
        <v>4.7161499323169473E-2</v>
      </c>
      <c r="AD121" s="17">
        <f>Tabelle1563[[#This Row],[Standardabweichung 2]]/Tabelle1563[[#This Row],[Mean Visc. 2 '[mPas']2]]</f>
        <v>4.9251060829167907E-2</v>
      </c>
      <c r="AE121" s="17">
        <f>Tabelle1563[[#This Row],[Standardabweichung 3]]/Tabelle1563[[#This Row],[Mean Visc. 3 '[mPas']3]]</f>
        <v>3.6183841664442169E-2</v>
      </c>
      <c r="AG121" s="17" t="e">
        <f>1-Tabelle1563[[#This Row],[Mean Visc. 1 '[mPas']]]/#REF!</f>
        <v>#REF!</v>
      </c>
    </row>
    <row r="122" spans="1:33" s="7" customFormat="1" ht="15" thickTop="1" x14ac:dyDescent="0.3">
      <c r="A122">
        <v>121</v>
      </c>
      <c r="B122" s="4"/>
      <c r="C122" s="5"/>
      <c r="D122" s="7">
        <v>5</v>
      </c>
      <c r="E122" t="s">
        <v>173</v>
      </c>
      <c r="F122"/>
      <c r="G122" t="s">
        <v>161</v>
      </c>
      <c r="H122" s="11" t="s">
        <v>160</v>
      </c>
      <c r="I122" s="9" t="s">
        <v>12</v>
      </c>
      <c r="J122" s="7">
        <v>24.8</v>
      </c>
      <c r="K122" s="7">
        <v>10</v>
      </c>
      <c r="L122" s="7">
        <v>29.92</v>
      </c>
      <c r="M122" s="7">
        <v>374</v>
      </c>
      <c r="N122" s="7">
        <f>Tabelle1563[[#This Row],[Anzahl Frames]]/Tabelle1563[[#This Row],[Aufnahmezeit '[s']]]</f>
        <v>12.5</v>
      </c>
      <c r="O122" s="7">
        <f>1/Tabelle1563[[#This Row],[Mean fps ]]</f>
        <v>0.08</v>
      </c>
      <c r="P122" s="7">
        <v>40</v>
      </c>
      <c r="Q122" s="3"/>
      <c r="R122" s="11"/>
      <c r="S122" s="7">
        <v>1.5760000000000001</v>
      </c>
      <c r="T122" s="7">
        <v>1.3859999999999999</v>
      </c>
      <c r="U122" s="7">
        <v>2.0369999999999999</v>
      </c>
      <c r="Z122" s="7" t="e" cm="1">
        <f t="array" ref="Z122">STABW</f>
        <v>#NAME?</v>
      </c>
      <c r="AC122" s="7" t="e">
        <f>Tabelle1563[[#This Row],[Standardabweichung 1]]/Tabelle1563[[#This Row],[Mean Visc. 1 '[mPas']]]</f>
        <v>#NAME?</v>
      </c>
      <c r="AD122" s="7" t="e">
        <f>Tabelle156[[#This Row],[Standardabweichung 2]]/Tabelle156[[#This Row],[Mean Visc. 2 '[mPas']2]]</f>
        <v>#VALUE!</v>
      </c>
      <c r="AE122" s="7" t="e">
        <f>Tabelle156[[#This Row],[Standardabweichung 3]]/Tabelle156[[#This Row],[Mean Visc. 3 '[mPas']3]]</f>
        <v>#VALUE!</v>
      </c>
      <c r="AG122" s="7" t="e">
        <f>1-Tabelle1563[[#This Row],[Mean Visc. 1 '[mPas']]]/#REF!</f>
        <v>#REF!</v>
      </c>
    </row>
    <row r="123" spans="1:33" s="7" customFormat="1" x14ac:dyDescent="0.3">
      <c r="A123">
        <v>122</v>
      </c>
      <c r="B123" s="4"/>
      <c r="C123" s="5"/>
      <c r="D123" s="7">
        <v>5</v>
      </c>
      <c r="E123" t="s">
        <v>173</v>
      </c>
      <c r="F123"/>
      <c r="G123" t="s">
        <v>161</v>
      </c>
      <c r="H123" s="11" t="s">
        <v>160</v>
      </c>
      <c r="I123" s="9" t="s">
        <v>12</v>
      </c>
      <c r="J123" s="7">
        <v>24.8</v>
      </c>
      <c r="K123" s="7">
        <v>10</v>
      </c>
      <c r="L123" s="7">
        <v>29.9</v>
      </c>
      <c r="M123" s="7">
        <v>374</v>
      </c>
      <c r="N123" s="7">
        <f>Tabelle1563[[#This Row],[Anzahl Frames]]/Tabelle1563[[#This Row],[Aufnahmezeit '[s']]]</f>
        <v>12.508361204013379</v>
      </c>
      <c r="O123" s="7">
        <f>1/Tabelle1563[[#This Row],[Mean fps ]]</f>
        <v>7.9946524064171118E-2</v>
      </c>
      <c r="P123" s="7">
        <v>40</v>
      </c>
      <c r="Q123" s="3"/>
      <c r="R123" s="11"/>
      <c r="S123" s="7">
        <v>1.4259999999999999</v>
      </c>
      <c r="T123" s="7">
        <v>1.212</v>
      </c>
      <c r="U123" s="7">
        <v>1.988</v>
      </c>
      <c r="Z123" s="7" t="e" cm="1">
        <f t="array" ref="Z123">STABW</f>
        <v>#NAME?</v>
      </c>
      <c r="AC123" s="7" t="e">
        <f>Tabelle1563[[#This Row],[Standardabweichung 1]]/Tabelle1563[[#This Row],[Mean Visc. 1 '[mPas']]]</f>
        <v>#NAME?</v>
      </c>
      <c r="AD123" s="7" t="e">
        <f>Tabelle156[[#This Row],[Standardabweichung 2]]/Tabelle156[[#This Row],[Mean Visc. 2 '[mPas']2]]</f>
        <v>#VALUE!</v>
      </c>
      <c r="AE123" s="7" t="e">
        <f>Tabelle156[[#This Row],[Standardabweichung 3]]/Tabelle156[[#This Row],[Mean Visc. 3 '[mPas']3]]</f>
        <v>#VALUE!</v>
      </c>
      <c r="AG123" s="7" t="e">
        <f>1-Tabelle1563[[#This Row],[Mean Visc. 1 '[mPas']]]/#REF!</f>
        <v>#REF!</v>
      </c>
    </row>
    <row r="124" spans="1:33" s="7" customFormat="1" x14ac:dyDescent="0.3">
      <c r="A124">
        <v>123</v>
      </c>
      <c r="B124" s="4"/>
      <c r="C124" s="5"/>
      <c r="D124" s="7">
        <v>5</v>
      </c>
      <c r="E124" t="s">
        <v>173</v>
      </c>
      <c r="F124"/>
      <c r="G124" t="s">
        <v>161</v>
      </c>
      <c r="H124" s="11" t="s">
        <v>160</v>
      </c>
      <c r="I124" s="9" t="s">
        <v>12</v>
      </c>
      <c r="J124" s="7">
        <v>24.8</v>
      </c>
      <c r="K124" s="7">
        <v>10</v>
      </c>
      <c r="L124" s="7">
        <v>30.8</v>
      </c>
      <c r="M124" s="7">
        <v>386</v>
      </c>
      <c r="N124" s="7">
        <f>Tabelle1563[[#This Row],[Anzahl Frames]]/Tabelle1563[[#This Row],[Aufnahmezeit '[s']]]</f>
        <v>12.532467532467532</v>
      </c>
      <c r="O124" s="7">
        <f>1/Tabelle1563[[#This Row],[Mean fps ]]</f>
        <v>7.9792746113989635E-2</v>
      </c>
      <c r="P124" s="7">
        <v>40</v>
      </c>
      <c r="Q124" s="3"/>
      <c r="R124" s="11"/>
      <c r="S124" s="7">
        <v>1.2310000000000001</v>
      </c>
      <c r="T124" s="7">
        <v>0.97099999999999997</v>
      </c>
      <c r="U124" s="7">
        <v>1.375</v>
      </c>
      <c r="Z124" s="7" t="e" cm="1">
        <f t="array" ref="Z124">STABW</f>
        <v>#NAME?</v>
      </c>
      <c r="AC124" s="7" t="e">
        <f>Tabelle1563[[#This Row],[Standardabweichung 1]]/Tabelle1563[[#This Row],[Mean Visc. 1 '[mPas']]]</f>
        <v>#NAME?</v>
      </c>
      <c r="AD124" s="7" t="e">
        <f>Tabelle156[[#This Row],[Standardabweichung 2]]/Tabelle156[[#This Row],[Mean Visc. 2 '[mPas']2]]</f>
        <v>#VALUE!</v>
      </c>
      <c r="AE124" s="7" t="e">
        <f>Tabelle156[[#This Row],[Standardabweichung 3]]/Tabelle156[[#This Row],[Mean Visc. 3 '[mPas']3]]</f>
        <v>#VALUE!</v>
      </c>
      <c r="AG124" s="7" t="e">
        <f>1-Tabelle1563[[#This Row],[Mean Visc. 1 '[mPas']]]/#REF!</f>
        <v>#REF!</v>
      </c>
    </row>
    <row r="125" spans="1:33" s="7" customFormat="1" x14ac:dyDescent="0.3">
      <c r="A125">
        <v>124</v>
      </c>
      <c r="B125" s="4"/>
      <c r="C125" s="5"/>
      <c r="D125" s="7">
        <v>5</v>
      </c>
      <c r="E125" t="s">
        <v>173</v>
      </c>
      <c r="F125"/>
      <c r="G125" t="s">
        <v>161</v>
      </c>
      <c r="H125" s="11" t="s">
        <v>160</v>
      </c>
      <c r="I125" s="9" t="s">
        <v>12</v>
      </c>
      <c r="J125" s="7">
        <v>24.8</v>
      </c>
      <c r="K125" s="7">
        <v>10</v>
      </c>
      <c r="L125" s="7">
        <v>30.48</v>
      </c>
      <c r="M125" s="7">
        <v>381</v>
      </c>
      <c r="N125" s="7">
        <f>Tabelle1563[[#This Row],[Anzahl Frames]]/Tabelle1563[[#This Row],[Aufnahmezeit '[s']]]</f>
        <v>12.5</v>
      </c>
      <c r="O125" s="7">
        <f>1/Tabelle1563[[#This Row],[Mean fps ]]</f>
        <v>0.08</v>
      </c>
      <c r="P125" s="7">
        <v>40</v>
      </c>
      <c r="Q125" s="3"/>
      <c r="R125" s="11"/>
      <c r="S125" s="7">
        <v>1.24</v>
      </c>
      <c r="T125" s="7">
        <v>1.0840000000000001</v>
      </c>
      <c r="U125" s="7">
        <v>1.7609999999999999</v>
      </c>
      <c r="Z125" s="7" t="e" cm="1">
        <f t="array" ref="Z125">STABW</f>
        <v>#NAME?</v>
      </c>
      <c r="AC125" s="7" t="e">
        <f>Tabelle1563[[#This Row],[Standardabweichung 1]]/Tabelle1563[[#This Row],[Mean Visc. 1 '[mPas']]]</f>
        <v>#NAME?</v>
      </c>
      <c r="AD125" s="7" t="e">
        <f>Tabelle156[[#This Row],[Standardabweichung 2]]/Tabelle156[[#This Row],[Mean Visc. 2 '[mPas']2]]</f>
        <v>#VALUE!</v>
      </c>
      <c r="AE125" s="7" t="e">
        <f>Tabelle156[[#This Row],[Standardabweichung 3]]/Tabelle156[[#This Row],[Mean Visc. 3 '[mPas']3]]</f>
        <v>#VALUE!</v>
      </c>
      <c r="AG125" s="7" t="e">
        <f>1-Tabelle1563[[#This Row],[Mean Visc. 1 '[mPas']]]/#REF!</f>
        <v>#REF!</v>
      </c>
    </row>
    <row r="126" spans="1:33" s="17" customFormat="1" ht="15" thickBot="1" x14ac:dyDescent="0.35">
      <c r="A126">
        <v>125</v>
      </c>
      <c r="B126" s="15"/>
      <c r="C126" s="16"/>
      <c r="D126" s="7">
        <v>5</v>
      </c>
      <c r="E126" t="s">
        <v>173</v>
      </c>
      <c r="F126"/>
      <c r="G126" t="s">
        <v>161</v>
      </c>
      <c r="H126" s="11" t="s">
        <v>160</v>
      </c>
      <c r="I126" s="9" t="s">
        <v>12</v>
      </c>
      <c r="J126" s="17">
        <v>24.8</v>
      </c>
      <c r="K126" s="17">
        <v>10</v>
      </c>
      <c r="L126" s="17">
        <v>30.56</v>
      </c>
      <c r="M126" s="17">
        <v>383</v>
      </c>
      <c r="N126" s="17">
        <f>Tabelle1563[[#This Row],[Anzahl Frames]]/Tabelle1563[[#This Row],[Aufnahmezeit '[s']]]</f>
        <v>12.532722513089006</v>
      </c>
      <c r="O126" s="17">
        <f>1/Tabelle1563[[#This Row],[Mean fps ]]</f>
        <v>7.97911227154047E-2</v>
      </c>
      <c r="P126" s="17">
        <v>40</v>
      </c>
      <c r="Q126" s="20"/>
      <c r="R126" s="21"/>
      <c r="S126" s="17">
        <v>1.4470000000000001</v>
      </c>
      <c r="T126" s="17">
        <v>1.171</v>
      </c>
      <c r="U126" s="17">
        <v>1.831</v>
      </c>
      <c r="Z126" s="17" t="e" cm="1">
        <f t="array" ref="Z126">STABW</f>
        <v>#NAME?</v>
      </c>
      <c r="AC126" s="17" t="e">
        <f>Tabelle1563[[#This Row],[Standardabweichung 1]]/Tabelle1563[[#This Row],[Mean Visc. 1 '[mPas']]]</f>
        <v>#NAME?</v>
      </c>
      <c r="AD126" s="17" t="e">
        <f>Tabelle156[[#This Row],[Standardabweichung 2]]/Tabelle156[[#This Row],[Mean Visc. 2 '[mPas']2]]</f>
        <v>#VALUE!</v>
      </c>
      <c r="AE126" s="17" t="e">
        <f>Tabelle156[[#This Row],[Standardabweichung 3]]/Tabelle156[[#This Row],[Mean Visc. 3 '[mPas']3]]</f>
        <v>#VALUE!</v>
      </c>
      <c r="AG126" s="17" t="e">
        <f>1-Tabelle1563[[#This Row],[Mean Visc. 1 '[mPas']]]/#REF!</f>
        <v>#REF!</v>
      </c>
    </row>
    <row r="127" spans="1:33" s="7" customFormat="1" ht="15" thickTop="1" x14ac:dyDescent="0.3">
      <c r="A127">
        <v>126</v>
      </c>
      <c r="B127" s="4"/>
      <c r="C127" s="5"/>
      <c r="D127" s="7">
        <v>5</v>
      </c>
      <c r="E127" t="s">
        <v>173</v>
      </c>
      <c r="F127"/>
      <c r="G127" t="s">
        <v>161</v>
      </c>
      <c r="H127" s="11" t="s">
        <v>160</v>
      </c>
      <c r="I127" s="9" t="s">
        <v>12</v>
      </c>
      <c r="J127" s="7">
        <v>24.8</v>
      </c>
      <c r="K127" s="7">
        <v>10</v>
      </c>
      <c r="L127" s="7">
        <v>30.88</v>
      </c>
      <c r="M127" s="7">
        <v>386</v>
      </c>
      <c r="N127" s="7">
        <f>Tabelle1563[[#This Row],[Anzahl Frames]]/Tabelle1563[[#This Row],[Aufnahmezeit '[s']]]</f>
        <v>12.5</v>
      </c>
      <c r="O127" s="7">
        <f>1/Tabelle1563[[#This Row],[Mean fps ]]</f>
        <v>0.08</v>
      </c>
      <c r="P127" s="7">
        <v>40</v>
      </c>
      <c r="Q127" s="3"/>
      <c r="R127" s="11"/>
      <c r="S127" s="7">
        <v>1.49</v>
      </c>
      <c r="T127" s="7">
        <v>1.2290000000000001</v>
      </c>
      <c r="U127" s="7">
        <v>1.9390000000000001</v>
      </c>
      <c r="Z127" s="7" t="e" cm="1">
        <f t="array" ref="Z127">STABW</f>
        <v>#NAME?</v>
      </c>
      <c r="AC127" s="7" t="e">
        <f>Tabelle1563[[#This Row],[Standardabweichung 1]]/Tabelle1563[[#This Row],[Mean Visc. 1 '[mPas']]]</f>
        <v>#NAME?</v>
      </c>
      <c r="AD127" s="7" t="e">
        <f>Tabelle156[[#This Row],[Standardabweichung 2]]/Tabelle156[[#This Row],[Mean Visc. 2 '[mPas']2]]</f>
        <v>#VALUE!</v>
      </c>
      <c r="AE127" s="7" t="e">
        <f>Tabelle156[[#This Row],[Standardabweichung 3]]/Tabelle156[[#This Row],[Mean Visc. 3 '[mPas']3]]</f>
        <v>#VALUE!</v>
      </c>
      <c r="AG127" s="7" t="e">
        <f>1-Tabelle1563[[#This Row],[Mean Visc. 1 '[mPas']]]/#REF!</f>
        <v>#REF!</v>
      </c>
    </row>
    <row r="128" spans="1:33" s="7" customFormat="1" x14ac:dyDescent="0.3">
      <c r="A128">
        <v>127</v>
      </c>
      <c r="B128" s="4"/>
      <c r="C128" s="5"/>
      <c r="D128" s="7">
        <v>5</v>
      </c>
      <c r="E128" t="s">
        <v>173</v>
      </c>
      <c r="F128"/>
      <c r="G128" t="s">
        <v>161</v>
      </c>
      <c r="H128" s="11" t="s">
        <v>160</v>
      </c>
      <c r="I128" s="9" t="s">
        <v>12</v>
      </c>
      <c r="J128" s="7">
        <v>24.9</v>
      </c>
      <c r="K128" s="7">
        <v>10</v>
      </c>
      <c r="L128" s="7">
        <v>30.42</v>
      </c>
      <c r="M128" s="7">
        <v>380</v>
      </c>
      <c r="N128" s="7">
        <f>Tabelle1563[[#This Row],[Anzahl Frames]]/Tabelle1563[[#This Row],[Aufnahmezeit '[s']]]</f>
        <v>12.491781722550952</v>
      </c>
      <c r="O128" s="7">
        <f>1/Tabelle1563[[#This Row],[Mean fps ]]</f>
        <v>8.0052631578947375E-2</v>
      </c>
      <c r="P128" s="7">
        <v>40</v>
      </c>
      <c r="Q128" s="3"/>
      <c r="R128" s="11"/>
      <c r="S128" s="7">
        <v>1.4330000000000001</v>
      </c>
      <c r="T128" s="7">
        <v>1.093</v>
      </c>
      <c r="U128" s="7">
        <v>1.835</v>
      </c>
      <c r="Z128" s="7" t="e" cm="1">
        <f t="array" ref="Z128">STABW</f>
        <v>#NAME?</v>
      </c>
      <c r="AC128" s="7" t="e">
        <f>Tabelle1563[[#This Row],[Standardabweichung 1]]/Tabelle1563[[#This Row],[Mean Visc. 1 '[mPas']]]</f>
        <v>#NAME?</v>
      </c>
      <c r="AD128" s="7" t="e">
        <f>Tabelle156[[#This Row],[Standardabweichung 2]]/Tabelle156[[#This Row],[Mean Visc. 2 '[mPas']2]]</f>
        <v>#VALUE!</v>
      </c>
      <c r="AE128" s="7" t="e">
        <f>Tabelle156[[#This Row],[Standardabweichung 3]]/Tabelle156[[#This Row],[Mean Visc. 3 '[mPas']3]]</f>
        <v>#VALUE!</v>
      </c>
      <c r="AG128" s="7" t="e">
        <f>1-Tabelle1563[[#This Row],[Mean Visc. 1 '[mPas']]]/#REF!</f>
        <v>#REF!</v>
      </c>
    </row>
    <row r="129" spans="1:35" s="7" customFormat="1" x14ac:dyDescent="0.3">
      <c r="A129">
        <v>128</v>
      </c>
      <c r="B129" s="4"/>
      <c r="C129" s="5"/>
      <c r="D129" s="7">
        <v>5</v>
      </c>
      <c r="E129" t="s">
        <v>173</v>
      </c>
      <c r="F129"/>
      <c r="G129" t="s">
        <v>161</v>
      </c>
      <c r="H129" s="11" t="s">
        <v>160</v>
      </c>
      <c r="I129" s="9" t="s">
        <v>12</v>
      </c>
      <c r="J129" s="7">
        <v>24.9</v>
      </c>
      <c r="K129" s="7">
        <v>10</v>
      </c>
      <c r="L129" s="7">
        <v>31.86</v>
      </c>
      <c r="M129" s="7">
        <v>398</v>
      </c>
      <c r="N129" s="7">
        <f>Tabelle1563[[#This Row],[Anzahl Frames]]/Tabelle1563[[#This Row],[Aufnahmezeit '[s']]]</f>
        <v>12.492153170119272</v>
      </c>
      <c r="O129" s="7">
        <f>1/Tabelle1563[[#This Row],[Mean fps ]]</f>
        <v>8.0050251256281402E-2</v>
      </c>
      <c r="P129" s="7">
        <v>40</v>
      </c>
      <c r="Q129" s="3"/>
      <c r="R129" s="11"/>
      <c r="S129" s="7">
        <v>1.3620000000000001</v>
      </c>
      <c r="T129" s="7">
        <v>1.1539999999999999</v>
      </c>
      <c r="U129" s="7">
        <v>1.6619999999999999</v>
      </c>
      <c r="Z129" s="7" t="e" cm="1">
        <f t="array" ref="Z129">STABW</f>
        <v>#NAME?</v>
      </c>
      <c r="AC129" s="7" t="e">
        <f>Tabelle1563[[#This Row],[Standardabweichung 1]]/Tabelle1563[[#This Row],[Mean Visc. 1 '[mPas']]]</f>
        <v>#NAME?</v>
      </c>
      <c r="AD129" s="7" t="e">
        <f>Tabelle156[[#This Row],[Standardabweichung 2]]/Tabelle156[[#This Row],[Mean Visc. 2 '[mPas']2]]</f>
        <v>#VALUE!</v>
      </c>
      <c r="AE129" s="7" t="e">
        <f>Tabelle156[[#This Row],[Standardabweichung 3]]/Tabelle156[[#This Row],[Mean Visc. 3 '[mPas']3]]</f>
        <v>#VALUE!</v>
      </c>
      <c r="AG129" s="7" t="e">
        <f>1-Tabelle1563[[#This Row],[Mean Visc. 1 '[mPas']]]/#REF!</f>
        <v>#REF!</v>
      </c>
    </row>
    <row r="130" spans="1:35" s="7" customFormat="1" x14ac:dyDescent="0.3">
      <c r="A130">
        <v>129</v>
      </c>
      <c r="B130" s="4"/>
      <c r="C130" s="5"/>
      <c r="D130" s="7">
        <v>5</v>
      </c>
      <c r="E130" t="s">
        <v>173</v>
      </c>
      <c r="F130"/>
      <c r="G130" t="s">
        <v>161</v>
      </c>
      <c r="H130" s="11" t="s">
        <v>160</v>
      </c>
      <c r="I130" s="9" t="s">
        <v>12</v>
      </c>
      <c r="J130" s="7">
        <v>24.6</v>
      </c>
      <c r="K130" s="7">
        <v>10</v>
      </c>
      <c r="L130" s="7">
        <v>30.08</v>
      </c>
      <c r="M130" s="7">
        <v>376</v>
      </c>
      <c r="N130" s="7">
        <f>Tabelle1563[[#This Row],[Anzahl Frames]]/Tabelle1563[[#This Row],[Aufnahmezeit '[s']]]</f>
        <v>12.5</v>
      </c>
      <c r="O130" s="7">
        <f>1/Tabelle1563[[#This Row],[Mean fps ]]</f>
        <v>0.08</v>
      </c>
      <c r="P130" s="7">
        <v>40</v>
      </c>
      <c r="Q130" s="3"/>
      <c r="R130" s="11"/>
      <c r="S130" s="7">
        <v>1.3029999999999999</v>
      </c>
      <c r="T130" s="7">
        <v>0.93200000000000005</v>
      </c>
      <c r="U130" s="7">
        <v>1.179</v>
      </c>
      <c r="Z130" s="7" t="e" cm="1">
        <f t="array" ref="Z130">STABW</f>
        <v>#NAME?</v>
      </c>
      <c r="AC130" s="7" t="e">
        <f>Tabelle1563[[#This Row],[Standardabweichung 1]]/Tabelle1563[[#This Row],[Mean Visc. 1 '[mPas']]]</f>
        <v>#NAME?</v>
      </c>
      <c r="AD130" s="7" t="e">
        <f>Tabelle156[[#This Row],[Standardabweichung 2]]/Tabelle156[[#This Row],[Mean Visc. 2 '[mPas']2]]</f>
        <v>#VALUE!</v>
      </c>
      <c r="AE130" s="7" t="e">
        <f>Tabelle156[[#This Row],[Standardabweichung 3]]/Tabelle156[[#This Row],[Mean Visc. 3 '[mPas']3]]</f>
        <v>#VALUE!</v>
      </c>
      <c r="AG130" s="7" t="e">
        <f>1-Tabelle1563[[#This Row],[Mean Visc. 1 '[mPas']]]/#REF!</f>
        <v>#REF!</v>
      </c>
    </row>
    <row r="131" spans="1:35" s="17" customFormat="1" ht="15" thickBot="1" x14ac:dyDescent="0.35">
      <c r="A131">
        <v>130</v>
      </c>
      <c r="B131" s="15"/>
      <c r="C131" s="16"/>
      <c r="D131" s="7">
        <v>5</v>
      </c>
      <c r="E131" s="14" t="s">
        <v>173</v>
      </c>
      <c r="F131" s="14"/>
      <c r="G131" s="14" t="s">
        <v>161</v>
      </c>
      <c r="H131" s="21" t="s">
        <v>160</v>
      </c>
      <c r="I131" s="19" t="s">
        <v>12</v>
      </c>
      <c r="J131" s="17">
        <v>24.9</v>
      </c>
      <c r="K131" s="17">
        <v>10</v>
      </c>
      <c r="L131" s="17">
        <v>30.08</v>
      </c>
      <c r="M131" s="17">
        <v>377</v>
      </c>
      <c r="N131" s="17">
        <f>Tabelle1563[[#This Row],[Anzahl Frames]]/Tabelle1563[[#This Row],[Aufnahmezeit '[s']]]</f>
        <v>12.533244680851064</v>
      </c>
      <c r="O131" s="17">
        <f>1/Tabelle1563[[#This Row],[Mean fps ]]</f>
        <v>7.9787798408488056E-2</v>
      </c>
      <c r="P131" s="17">
        <v>40</v>
      </c>
      <c r="Q131" s="20"/>
      <c r="R131" s="21"/>
      <c r="S131" s="17">
        <v>1.165</v>
      </c>
      <c r="T131" s="17">
        <v>0.874</v>
      </c>
      <c r="U131" s="17">
        <v>1.556</v>
      </c>
      <c r="W131" s="7">
        <f>SUM(S122:S131)/10</f>
        <v>1.3672999999999997</v>
      </c>
      <c r="X131" s="7">
        <f>SUM(T122:T131)/10</f>
        <v>1.1106000000000003</v>
      </c>
      <c r="Y131" s="7">
        <f t="shared" ref="Y131" si="34">SUM(U122:U131)/10</f>
        <v>1.7162999999999999</v>
      </c>
      <c r="Z131" s="17">
        <f>_xlfn.STDEV.S(S122:S131)</f>
        <v>0.13021183595288957</v>
      </c>
      <c r="AA131" s="17">
        <f t="shared" ref="AA131" si="35">_xlfn.STDEV.S(T122:T131)</f>
        <v>0.15422220621197391</v>
      </c>
      <c r="AB131" s="17">
        <f>_xlfn.STDEV.S(U122:U131)</f>
        <v>0.27675301865261176</v>
      </c>
      <c r="AC131" s="17">
        <f>Tabelle1563[[#This Row],[Standardabweichung 1]]/Tabelle1563[[#This Row],[Mean Visc. 1 '[mPas']]]</f>
        <v>9.5232820853426159E-2</v>
      </c>
      <c r="AD131" s="17">
        <f>Tabelle1563[[#This Row],[Standardabweichung 2]]/Tabelle1563[[#This Row],[Mean Visc. 2 '[mPas']2]]</f>
        <v>0.13886386296774164</v>
      </c>
      <c r="AE131" s="17">
        <f>Tabelle1563[[#This Row],[Standardabweichung 3]]/Tabelle1563[[#This Row],[Mean Visc. 3 '[mPas']3]]</f>
        <v>0.16124979237464998</v>
      </c>
      <c r="AG131" s="17" t="e">
        <f>1-Tabelle1563[[#This Row],[Mean Visc. 1 '[mPas']]]/#REF!</f>
        <v>#REF!</v>
      </c>
    </row>
    <row r="132" spans="1:35" s="7" customFormat="1" ht="15" thickTop="1" x14ac:dyDescent="0.3">
      <c r="A132">
        <v>131</v>
      </c>
      <c r="B132" s="4"/>
      <c r="C132" s="5"/>
      <c r="D132" s="7">
        <v>5</v>
      </c>
      <c r="E132" t="s">
        <v>173</v>
      </c>
      <c r="F132"/>
      <c r="G132" t="s">
        <v>161</v>
      </c>
      <c r="H132" s="11" t="s">
        <v>163</v>
      </c>
      <c r="I132" s="9" t="s">
        <v>12</v>
      </c>
      <c r="J132" s="7">
        <v>22</v>
      </c>
      <c r="K132" s="7">
        <v>14</v>
      </c>
      <c r="L132" s="7">
        <v>29.92</v>
      </c>
      <c r="M132" s="7">
        <v>374</v>
      </c>
      <c r="N132" s="7">
        <f>Tabelle1563[[#This Row],[Anzahl Frames]]/Tabelle1563[[#This Row],[Aufnahmezeit '[s']]]</f>
        <v>12.5</v>
      </c>
      <c r="O132" s="7">
        <f>1/Tabelle1563[[#This Row],[Mean fps ]]</f>
        <v>0.08</v>
      </c>
      <c r="P132" s="7">
        <v>40</v>
      </c>
      <c r="Q132" s="3"/>
      <c r="R132" s="11"/>
      <c r="S132" s="7">
        <v>1.33</v>
      </c>
      <c r="T132" s="7">
        <v>1.077</v>
      </c>
      <c r="U132" s="7">
        <v>1.9990000000000001</v>
      </c>
      <c r="Z132" s="7" t="e" cm="1">
        <f t="array" ref="Z132">STABW</f>
        <v>#NAME?</v>
      </c>
      <c r="AC132" s="7" t="e">
        <f>Tabelle1563[[#This Row],[Standardabweichung 1]]/Tabelle1563[[#This Row],[Mean Visc. 1 '[mPas']]]</f>
        <v>#NAME?</v>
      </c>
      <c r="AD132" s="7" t="e">
        <f>Tabelle156[[#This Row],[Standardabweichung 2]]/Tabelle156[[#This Row],[Mean Visc. 2 '[mPas']2]]</f>
        <v>#VALUE!</v>
      </c>
      <c r="AE132" s="7" t="e">
        <f>Tabelle156[[#This Row],[Standardabweichung 3]]/Tabelle156[[#This Row],[Mean Visc. 3 '[mPas']3]]</f>
        <v>#VALUE!</v>
      </c>
      <c r="AG132" s="7" t="e">
        <f>1-Tabelle1563[[#This Row],[Mean Visc. 1 '[mPas']]]/#REF!</f>
        <v>#REF!</v>
      </c>
    </row>
    <row r="133" spans="1:35" s="7" customFormat="1" x14ac:dyDescent="0.3">
      <c r="A133">
        <v>132</v>
      </c>
      <c r="B133" s="4"/>
      <c r="C133" s="5"/>
      <c r="D133" s="7">
        <v>5</v>
      </c>
      <c r="E133" t="s">
        <v>173</v>
      </c>
      <c r="F133"/>
      <c r="G133" t="s">
        <v>161</v>
      </c>
      <c r="H133" s="11" t="s">
        <v>163</v>
      </c>
      <c r="I133" s="9" t="s">
        <v>12</v>
      </c>
      <c r="J133" s="7">
        <v>22.1</v>
      </c>
      <c r="K133" s="7">
        <v>14</v>
      </c>
      <c r="L133" s="7">
        <v>30.64</v>
      </c>
      <c r="M133" s="7">
        <v>383</v>
      </c>
      <c r="N133" s="7">
        <f>Tabelle1563[[#This Row],[Anzahl Frames]]/Tabelle1563[[#This Row],[Aufnahmezeit '[s']]]</f>
        <v>12.5</v>
      </c>
      <c r="O133" s="7">
        <f>1/Tabelle1563[[#This Row],[Mean fps ]]</f>
        <v>0.08</v>
      </c>
      <c r="P133" s="7">
        <v>40</v>
      </c>
      <c r="Q133" s="3"/>
      <c r="R133" s="11"/>
      <c r="S133" s="7">
        <v>1.462</v>
      </c>
      <c r="T133" s="7">
        <v>1.2270000000000001</v>
      </c>
      <c r="U133" s="7">
        <v>2.052</v>
      </c>
      <c r="Z133" s="7" t="e" cm="1">
        <f t="array" ref="Z133">STABW</f>
        <v>#NAME?</v>
      </c>
      <c r="AC133" s="7" t="e">
        <f>Tabelle1563[[#This Row],[Standardabweichung 1]]/Tabelle1563[[#This Row],[Mean Visc. 1 '[mPas']]]</f>
        <v>#NAME?</v>
      </c>
      <c r="AD133" s="7" t="e">
        <f>Tabelle156[[#This Row],[Standardabweichung 2]]/Tabelle156[[#This Row],[Mean Visc. 2 '[mPas']2]]</f>
        <v>#VALUE!</v>
      </c>
      <c r="AE133" s="7" t="e">
        <f>Tabelle156[[#This Row],[Standardabweichung 3]]/Tabelle156[[#This Row],[Mean Visc. 3 '[mPas']3]]</f>
        <v>#VALUE!</v>
      </c>
      <c r="AG133" s="7" t="e">
        <f>1-Tabelle1563[[#This Row],[Mean Visc. 1 '[mPas']]]/#REF!</f>
        <v>#REF!</v>
      </c>
    </row>
    <row r="134" spans="1:35" s="7" customFormat="1" x14ac:dyDescent="0.3">
      <c r="A134">
        <v>133</v>
      </c>
      <c r="B134" s="4"/>
      <c r="C134" s="5"/>
      <c r="D134" s="7">
        <v>5</v>
      </c>
      <c r="E134" t="s">
        <v>173</v>
      </c>
      <c r="F134"/>
      <c r="G134" t="s">
        <v>161</v>
      </c>
      <c r="H134" s="11" t="s">
        <v>163</v>
      </c>
      <c r="I134" s="9" t="s">
        <v>12</v>
      </c>
      <c r="J134" s="7">
        <v>22.2</v>
      </c>
      <c r="K134" s="7">
        <v>14</v>
      </c>
      <c r="L134" s="7">
        <v>29.6</v>
      </c>
      <c r="M134" s="7">
        <v>371</v>
      </c>
      <c r="N134" s="7">
        <f>Tabelle1563[[#This Row],[Anzahl Frames]]/Tabelle1563[[#This Row],[Aufnahmezeit '[s']]]</f>
        <v>12.533783783783782</v>
      </c>
      <c r="O134" s="7">
        <f>1/Tabelle1563[[#This Row],[Mean fps ]]</f>
        <v>7.9784366576819421E-2</v>
      </c>
      <c r="P134" s="7">
        <v>40</v>
      </c>
      <c r="Q134" s="3"/>
      <c r="R134" s="11"/>
      <c r="S134" s="7">
        <v>1.413</v>
      </c>
      <c r="T134" s="7">
        <v>1.18</v>
      </c>
      <c r="U134" s="7">
        <v>1.867</v>
      </c>
      <c r="Z134" s="7" t="e" cm="1">
        <f t="array" ref="Z134">STABW</f>
        <v>#NAME?</v>
      </c>
      <c r="AC134" s="7" t="e">
        <f>Tabelle1563[[#This Row],[Standardabweichung 1]]/Tabelle1563[[#This Row],[Mean Visc. 1 '[mPas']]]</f>
        <v>#NAME?</v>
      </c>
      <c r="AD134" s="7" t="e">
        <f>Tabelle156[[#This Row],[Standardabweichung 2]]/Tabelle156[[#This Row],[Mean Visc. 2 '[mPas']2]]</f>
        <v>#VALUE!</v>
      </c>
      <c r="AE134" s="7" t="e">
        <f>Tabelle156[[#This Row],[Standardabweichung 3]]/Tabelle156[[#This Row],[Mean Visc. 3 '[mPas']3]]</f>
        <v>#VALUE!</v>
      </c>
      <c r="AG134" s="7" t="e">
        <f>1-Tabelle1563[[#This Row],[Mean Visc. 1 '[mPas']]]/#REF!</f>
        <v>#REF!</v>
      </c>
    </row>
    <row r="135" spans="1:35" s="7" customFormat="1" x14ac:dyDescent="0.3">
      <c r="A135">
        <v>134</v>
      </c>
      <c r="B135" s="4"/>
      <c r="C135" s="5"/>
      <c r="D135" s="7">
        <v>5</v>
      </c>
      <c r="E135" t="s">
        <v>173</v>
      </c>
      <c r="F135"/>
      <c r="G135" t="s">
        <v>161</v>
      </c>
      <c r="H135" s="11" t="s">
        <v>163</v>
      </c>
      <c r="I135" s="9" t="s">
        <v>12</v>
      </c>
      <c r="J135" s="7">
        <v>22.3</v>
      </c>
      <c r="K135" s="7">
        <v>14</v>
      </c>
      <c r="L135" s="7">
        <v>32.24</v>
      </c>
      <c r="M135" s="7">
        <v>404</v>
      </c>
      <c r="N135" s="7">
        <f>Tabelle1563[[#This Row],[Anzahl Frames]]/Tabelle1563[[#This Row],[Aufnahmezeit '[s']]]</f>
        <v>12.531017369727046</v>
      </c>
      <c r="O135" s="7">
        <f>1/Tabelle1563[[#This Row],[Mean fps ]]</f>
        <v>7.9801980198019817E-2</v>
      </c>
      <c r="P135" s="7">
        <v>40</v>
      </c>
      <c r="Q135" s="3"/>
      <c r="R135" s="11"/>
      <c r="S135" s="7">
        <v>1.518</v>
      </c>
      <c r="T135" s="7">
        <v>1.1819999999999999</v>
      </c>
      <c r="U135" s="7">
        <v>1.885</v>
      </c>
      <c r="Z135" s="7" t="e" cm="1">
        <f t="array" ref="Z135">STABW</f>
        <v>#NAME?</v>
      </c>
      <c r="AC135" s="7" t="e">
        <f>Tabelle1563[[#This Row],[Standardabweichung 1]]/Tabelle1563[[#This Row],[Mean Visc. 1 '[mPas']]]</f>
        <v>#NAME?</v>
      </c>
      <c r="AD135" s="7" t="e">
        <f>Tabelle156[[#This Row],[Standardabweichung 2]]/Tabelle156[[#This Row],[Mean Visc. 2 '[mPas']2]]</f>
        <v>#VALUE!</v>
      </c>
      <c r="AE135" s="7" t="e">
        <f>Tabelle156[[#This Row],[Standardabweichung 3]]/Tabelle156[[#This Row],[Mean Visc. 3 '[mPas']3]]</f>
        <v>#VALUE!</v>
      </c>
      <c r="AG135" s="7" t="e">
        <f>1-Tabelle1563[[#This Row],[Mean Visc. 1 '[mPas']]]/#REF!</f>
        <v>#REF!</v>
      </c>
    </row>
    <row r="136" spans="1:35" s="17" customFormat="1" ht="15" thickBot="1" x14ac:dyDescent="0.35">
      <c r="A136">
        <v>135</v>
      </c>
      <c r="B136" s="15"/>
      <c r="C136" s="16"/>
      <c r="D136" s="7">
        <v>5</v>
      </c>
      <c r="E136" s="14" t="s">
        <v>173</v>
      </c>
      <c r="F136" s="14"/>
      <c r="G136" s="14" t="s">
        <v>161</v>
      </c>
      <c r="H136" s="21" t="s">
        <v>163</v>
      </c>
      <c r="I136" s="19" t="s">
        <v>12</v>
      </c>
      <c r="J136" s="17">
        <v>22.4</v>
      </c>
      <c r="K136" s="17">
        <v>14</v>
      </c>
      <c r="L136" s="17">
        <v>31.2</v>
      </c>
      <c r="M136" s="17">
        <v>390</v>
      </c>
      <c r="N136" s="17">
        <f>Tabelle1563[[#This Row],[Anzahl Frames]]/Tabelle1563[[#This Row],[Aufnahmezeit '[s']]]</f>
        <v>12.5</v>
      </c>
      <c r="O136" s="17">
        <f>1/Tabelle1563[[#This Row],[Mean fps ]]</f>
        <v>0.08</v>
      </c>
      <c r="P136" s="17">
        <v>40</v>
      </c>
      <c r="Q136" s="20"/>
      <c r="R136" s="21"/>
      <c r="S136" s="17">
        <v>1.454</v>
      </c>
      <c r="T136" s="17">
        <v>1.1060000000000001</v>
      </c>
      <c r="U136" s="17">
        <v>1.887</v>
      </c>
      <c r="Z136" s="17" t="e" cm="1">
        <f t="array" ref="Z136">STABW</f>
        <v>#NAME?</v>
      </c>
      <c r="AC136" s="17" t="e">
        <f>Tabelle1563[[#This Row],[Standardabweichung 1]]/Tabelle1563[[#This Row],[Mean Visc. 1 '[mPas']]]</f>
        <v>#NAME?</v>
      </c>
      <c r="AD136" s="17" t="e">
        <f>Tabelle156[[#This Row],[Standardabweichung 2]]/Tabelle156[[#This Row],[Mean Visc. 2 '[mPas']2]]</f>
        <v>#VALUE!</v>
      </c>
      <c r="AE136" s="17" t="e">
        <f>Tabelle156[[#This Row],[Standardabweichung 3]]/Tabelle156[[#This Row],[Mean Visc. 3 '[mPas']3]]</f>
        <v>#VALUE!</v>
      </c>
      <c r="AG136" s="17" t="e">
        <f>1-Tabelle1563[[#This Row],[Mean Visc. 1 '[mPas']]]/#REF!</f>
        <v>#REF!</v>
      </c>
    </row>
    <row r="137" spans="1:35" s="7" customFormat="1" ht="15" thickTop="1" x14ac:dyDescent="0.3">
      <c r="A137">
        <v>136</v>
      </c>
      <c r="B137" s="4"/>
      <c r="C137" s="5"/>
      <c r="D137" s="7">
        <v>5</v>
      </c>
      <c r="E137" t="s">
        <v>173</v>
      </c>
      <c r="F137"/>
      <c r="G137" t="s">
        <v>161</v>
      </c>
      <c r="H137" s="11" t="s">
        <v>163</v>
      </c>
      <c r="I137" s="9" t="s">
        <v>12</v>
      </c>
      <c r="J137" s="7">
        <v>22.5</v>
      </c>
      <c r="K137" s="7">
        <v>14</v>
      </c>
      <c r="L137" s="7">
        <v>30.24</v>
      </c>
      <c r="M137" s="7">
        <v>378</v>
      </c>
      <c r="N137" s="7">
        <f>Tabelle1563[[#This Row],[Anzahl Frames]]/Tabelle1563[[#This Row],[Aufnahmezeit '[s']]]</f>
        <v>12.5</v>
      </c>
      <c r="O137" s="7">
        <f>1/Tabelle1563[[#This Row],[Mean fps ]]</f>
        <v>0.08</v>
      </c>
      <c r="P137" s="7">
        <v>40</v>
      </c>
      <c r="Q137" s="3"/>
      <c r="R137" s="11"/>
      <c r="S137" s="7">
        <v>1.403</v>
      </c>
      <c r="T137" s="7">
        <v>1.109</v>
      </c>
      <c r="U137" s="7">
        <v>1.73</v>
      </c>
      <c r="Z137" s="7" t="e" cm="1">
        <f t="array" ref="Z137">STABW</f>
        <v>#NAME?</v>
      </c>
      <c r="AC137" s="7" t="e">
        <f>Tabelle1563[[#This Row],[Standardabweichung 1]]/Tabelle1563[[#This Row],[Mean Visc. 1 '[mPas']]]</f>
        <v>#NAME?</v>
      </c>
      <c r="AD137" s="7" t="e">
        <f>Tabelle156[[#This Row],[Standardabweichung 2]]/Tabelle156[[#This Row],[Mean Visc. 2 '[mPas']2]]</f>
        <v>#VALUE!</v>
      </c>
      <c r="AE137" s="7" t="e">
        <f>Tabelle156[[#This Row],[Standardabweichung 3]]/Tabelle156[[#This Row],[Mean Visc. 3 '[mPas']3]]</f>
        <v>#VALUE!</v>
      </c>
      <c r="AG137" s="7" t="e">
        <f>1-Tabelle1563[[#This Row],[Mean Visc. 1 '[mPas']]]/#REF!</f>
        <v>#REF!</v>
      </c>
    </row>
    <row r="138" spans="1:35" s="7" customFormat="1" x14ac:dyDescent="0.3">
      <c r="A138">
        <v>137</v>
      </c>
      <c r="B138" s="4"/>
      <c r="C138" s="5"/>
      <c r="D138" s="7">
        <v>5</v>
      </c>
      <c r="E138" t="s">
        <v>173</v>
      </c>
      <c r="F138"/>
      <c r="G138" t="s">
        <v>161</v>
      </c>
      <c r="H138" s="11" t="s">
        <v>163</v>
      </c>
      <c r="I138" s="9" t="s">
        <v>12</v>
      </c>
      <c r="J138" s="7">
        <v>22.6</v>
      </c>
      <c r="K138" s="7">
        <v>14</v>
      </c>
      <c r="L138" s="7">
        <v>32.32</v>
      </c>
      <c r="M138" s="7">
        <v>405</v>
      </c>
      <c r="N138" s="7">
        <f>Tabelle1563[[#This Row],[Anzahl Frames]]/Tabelle1563[[#This Row],[Aufnahmezeit '[s']]]</f>
        <v>12.530940594059405</v>
      </c>
      <c r="O138" s="7">
        <f>1/Tabelle1563[[#This Row],[Mean fps ]]</f>
        <v>7.9802469135802467E-2</v>
      </c>
      <c r="P138" s="7">
        <v>40</v>
      </c>
      <c r="Q138" s="3"/>
      <c r="R138" s="11"/>
      <c r="S138" s="7">
        <v>1.335</v>
      </c>
      <c r="T138" s="7">
        <v>1.024</v>
      </c>
      <c r="U138" s="7">
        <v>1.3680000000000001</v>
      </c>
      <c r="Z138" s="7" t="e" cm="1">
        <f t="array" ref="Z138">STABW</f>
        <v>#NAME?</v>
      </c>
      <c r="AC138" s="7" t="e">
        <f>Tabelle1563[[#This Row],[Standardabweichung 1]]/Tabelle1563[[#This Row],[Mean Visc. 1 '[mPas']]]</f>
        <v>#NAME?</v>
      </c>
      <c r="AD138" s="7" t="e">
        <f>Tabelle156[[#This Row],[Standardabweichung 2]]/Tabelle156[[#This Row],[Mean Visc. 2 '[mPas']2]]</f>
        <v>#VALUE!</v>
      </c>
      <c r="AE138" s="7" t="e">
        <f>Tabelle156[[#This Row],[Standardabweichung 3]]/Tabelle156[[#This Row],[Mean Visc. 3 '[mPas']3]]</f>
        <v>#VALUE!</v>
      </c>
      <c r="AG138" s="7" t="e">
        <f>1-Tabelle1563[[#This Row],[Mean Visc. 1 '[mPas']]]/#REF!</f>
        <v>#REF!</v>
      </c>
    </row>
    <row r="139" spans="1:35" x14ac:dyDescent="0.3">
      <c r="A139">
        <v>138</v>
      </c>
      <c r="B139" s="4"/>
      <c r="C139" s="5"/>
      <c r="D139" s="7">
        <v>5</v>
      </c>
      <c r="E139" t="s">
        <v>173</v>
      </c>
      <c r="G139" t="s">
        <v>161</v>
      </c>
      <c r="H139" s="11" t="s">
        <v>163</v>
      </c>
      <c r="I139" s="9" t="s">
        <v>12</v>
      </c>
      <c r="J139" s="7">
        <v>22.7</v>
      </c>
      <c r="K139" s="7">
        <v>14</v>
      </c>
      <c r="L139" s="7">
        <v>30.38</v>
      </c>
      <c r="M139" s="7">
        <v>380</v>
      </c>
      <c r="N139" s="7">
        <f>Tabelle1563[[#This Row],[Anzahl Frames]]/Tabelle1563[[#This Row],[Aufnahmezeit '[s']]]</f>
        <v>12.508229098090849</v>
      </c>
      <c r="O139" s="7">
        <f>1/Tabelle1563[[#This Row],[Mean fps ]]</f>
        <v>7.9947368421052628E-2</v>
      </c>
      <c r="P139" s="7">
        <v>40</v>
      </c>
      <c r="S139" s="7">
        <v>1.302</v>
      </c>
      <c r="T139" s="7">
        <v>0.85899999999999999</v>
      </c>
      <c r="U139" s="7">
        <v>1.5069999999999999</v>
      </c>
      <c r="V139" s="7"/>
      <c r="W139" s="7"/>
      <c r="X139" s="7"/>
      <c r="Y139" s="7"/>
      <c r="Z139" s="7" t="e" cm="1">
        <f t="array" ref="Z139">STABW</f>
        <v>#NAME?</v>
      </c>
      <c r="AA139" s="7"/>
      <c r="AB139" s="7"/>
      <c r="AC139" s="7" t="e">
        <f>Tabelle1563[[#This Row],[Standardabweichung 1]]/Tabelle1563[[#This Row],[Mean Visc. 1 '[mPas']]]</f>
        <v>#NAME?</v>
      </c>
      <c r="AD139" s="7" t="e">
        <f>Tabelle156[[#This Row],[Standardabweichung 2]]/Tabelle156[[#This Row],[Mean Visc. 2 '[mPas']2]]</f>
        <v>#VALUE!</v>
      </c>
      <c r="AE139" s="7" t="e">
        <f>Tabelle156[[#This Row],[Standardabweichung 3]]/Tabelle156[[#This Row],[Mean Visc. 3 '[mPas']3]]</f>
        <v>#VALUE!</v>
      </c>
      <c r="AF139" s="7"/>
      <c r="AG139" s="7" t="e">
        <f>1-Tabelle1563[[#This Row],[Mean Visc. 1 '[mPas']]]/#REF!</f>
        <v>#REF!</v>
      </c>
      <c r="AH139" s="7"/>
      <c r="AI139" s="7"/>
    </row>
    <row r="140" spans="1:35" x14ac:dyDescent="0.3">
      <c r="A140">
        <v>139</v>
      </c>
      <c r="B140" s="4"/>
      <c r="C140" s="5"/>
      <c r="D140" s="7">
        <v>5</v>
      </c>
      <c r="E140" t="s">
        <v>173</v>
      </c>
      <c r="G140" t="s">
        <v>161</v>
      </c>
      <c r="H140" s="11" t="s">
        <v>163</v>
      </c>
      <c r="I140" s="9" t="s">
        <v>12</v>
      </c>
      <c r="J140" s="7">
        <v>22.7</v>
      </c>
      <c r="K140" s="7">
        <v>14</v>
      </c>
      <c r="L140" s="7">
        <v>29.92</v>
      </c>
      <c r="M140" s="7">
        <v>375</v>
      </c>
      <c r="N140" s="7">
        <f>Tabelle1563[[#This Row],[Anzahl Frames]]/Tabelle1563[[#This Row],[Aufnahmezeit '[s']]]</f>
        <v>12.533422459893048</v>
      </c>
      <c r="O140" s="7">
        <f>1/Tabelle1563[[#This Row],[Mean fps ]]</f>
        <v>7.9786666666666672E-2</v>
      </c>
      <c r="P140" s="7">
        <v>40</v>
      </c>
      <c r="S140" s="7">
        <v>1.554</v>
      </c>
      <c r="T140" s="7">
        <v>1.2689999999999999</v>
      </c>
      <c r="U140" s="7">
        <v>2.0379999999999998</v>
      </c>
      <c r="V140" s="7"/>
      <c r="W140" s="7"/>
      <c r="X140" s="7"/>
      <c r="Y140" s="7"/>
      <c r="Z140" s="7" t="e" cm="1">
        <f t="array" ref="Z140">STABW</f>
        <v>#NAME?</v>
      </c>
      <c r="AA140" s="7"/>
      <c r="AB140" s="7"/>
      <c r="AC140" s="7" t="e">
        <f>Tabelle1563[[#This Row],[Standardabweichung 1]]/Tabelle1563[[#This Row],[Mean Visc. 1 '[mPas']]]</f>
        <v>#NAME?</v>
      </c>
      <c r="AD140" s="7" t="e">
        <f>Tabelle156[[#This Row],[Standardabweichung 2]]/Tabelle156[[#This Row],[Mean Visc. 2 '[mPas']2]]</f>
        <v>#VALUE!</v>
      </c>
      <c r="AE140" s="7" t="e">
        <f>Tabelle156[[#This Row],[Standardabweichung 3]]/Tabelle156[[#This Row],[Mean Visc. 3 '[mPas']3]]</f>
        <v>#VALUE!</v>
      </c>
      <c r="AF140" s="7"/>
      <c r="AG140" s="7" t="e">
        <f>1-Tabelle1563[[#This Row],[Mean Visc. 1 '[mPas']]]/#REF!</f>
        <v>#REF!</v>
      </c>
      <c r="AH140" s="7"/>
      <c r="AI140" s="7"/>
    </row>
    <row r="141" spans="1:35" s="14" customFormat="1" ht="15" thickBot="1" x14ac:dyDescent="0.35">
      <c r="A141">
        <v>140</v>
      </c>
      <c r="B141" s="15"/>
      <c r="C141" s="16"/>
      <c r="D141" s="7">
        <v>5</v>
      </c>
      <c r="E141" s="14" t="s">
        <v>173</v>
      </c>
      <c r="G141" s="14" t="s">
        <v>161</v>
      </c>
      <c r="H141" s="21" t="s">
        <v>163</v>
      </c>
      <c r="I141" s="19" t="s">
        <v>12</v>
      </c>
      <c r="J141" s="17">
        <v>22.8</v>
      </c>
      <c r="K141" s="17">
        <v>14</v>
      </c>
      <c r="L141" s="17">
        <v>31.91</v>
      </c>
      <c r="M141" s="17">
        <v>399</v>
      </c>
      <c r="N141" s="17">
        <f>Tabelle1563[[#This Row],[Anzahl Frames]]/Tabelle1563[[#This Row],[Aufnahmezeit '[s']]]</f>
        <v>12.503917267314321</v>
      </c>
      <c r="O141" s="17">
        <f>1/Tabelle1563[[#This Row],[Mean fps ]]</f>
        <v>7.9974937343358393E-2</v>
      </c>
      <c r="P141" s="17">
        <v>40</v>
      </c>
      <c r="Q141" s="20"/>
      <c r="R141" s="21"/>
      <c r="S141" s="17">
        <v>1.3080000000000001</v>
      </c>
      <c r="T141" s="17">
        <v>1.0509999999999999</v>
      </c>
      <c r="U141" s="17">
        <v>1.7</v>
      </c>
      <c r="V141" s="17"/>
      <c r="W141" s="7">
        <f>SUM(S132:S141)/10</f>
        <v>1.4078999999999999</v>
      </c>
      <c r="X141" s="7">
        <f>SUM(T132:T141)/10</f>
        <v>1.1084000000000001</v>
      </c>
      <c r="Y141" s="7">
        <f t="shared" ref="Y141" si="36">SUM(U132:U141)/10</f>
        <v>1.8032999999999997</v>
      </c>
      <c r="Z141" s="17">
        <f>_xlfn.STDEV.S(S132:S141)</f>
        <v>8.8911254130796674E-2</v>
      </c>
      <c r="AA141" s="17">
        <f t="shared" ref="AA141" si="37">_xlfn.STDEV.S(T132:T141)</f>
        <v>0.11738464786996447</v>
      </c>
      <c r="AB141" s="17">
        <f>_xlfn.STDEV.S(U132:U141)</f>
        <v>0.22761959005713606</v>
      </c>
      <c r="AC141" s="17">
        <f>Tabelle1563[[#This Row],[Standardabweichung 1]]/Tabelle1563[[#This Row],[Mean Visc. 1 '[mPas']]]</f>
        <v>6.3151682740817297E-2</v>
      </c>
      <c r="AD141" s="17">
        <f>Tabelle1563[[#This Row],[Standardabweichung 2]]/Tabelle1563[[#This Row],[Mean Visc. 2 '[mPas']2]]</f>
        <v>0.10590459028325917</v>
      </c>
      <c r="AE141" s="17">
        <f>Tabelle1563[[#This Row],[Standardabweichung 3]]/Tabelle1563[[#This Row],[Mean Visc. 3 '[mPas']3]]</f>
        <v>0.12622391729448018</v>
      </c>
      <c r="AF141" s="17"/>
      <c r="AG141" s="17" t="e">
        <f>1-Tabelle1563[[#This Row],[Mean Visc. 1 '[mPas']]]/#REF!</f>
        <v>#REF!</v>
      </c>
      <c r="AH141" s="17"/>
      <c r="AI141" s="17"/>
    </row>
    <row r="142" spans="1:35" ht="15" thickTop="1" x14ac:dyDescent="0.3">
      <c r="A142">
        <v>141</v>
      </c>
      <c r="B142" s="4"/>
      <c r="C142" s="5"/>
      <c r="D142" s="7">
        <v>5</v>
      </c>
      <c r="E142" t="s">
        <v>173</v>
      </c>
      <c r="G142" t="s">
        <v>161</v>
      </c>
      <c r="H142" s="11" t="s">
        <v>164</v>
      </c>
      <c r="I142" s="9" t="s">
        <v>12</v>
      </c>
      <c r="J142" s="7">
        <v>22.9</v>
      </c>
      <c r="K142" s="7">
        <v>22</v>
      </c>
      <c r="L142" s="7">
        <v>28.97</v>
      </c>
      <c r="M142" s="7">
        <v>364</v>
      </c>
      <c r="N142" s="7">
        <f>Tabelle1563[[#This Row],[Anzahl Frames]]/Tabelle1563[[#This Row],[Aufnahmezeit '[s']]]</f>
        <v>12.564722126337591</v>
      </c>
      <c r="O142" s="7">
        <f>1/Tabelle1563[[#This Row],[Mean fps ]]</f>
        <v>7.9587912087912091E-2</v>
      </c>
      <c r="P142" s="7">
        <v>40</v>
      </c>
      <c r="S142" s="7">
        <v>1.546</v>
      </c>
      <c r="T142" s="7">
        <v>1.204</v>
      </c>
      <c r="U142" s="7">
        <v>1.6439999999999999</v>
      </c>
      <c r="V142" s="7"/>
      <c r="W142" s="7"/>
      <c r="X142" s="7"/>
      <c r="Y142" s="7"/>
      <c r="Z142" s="7" t="e" cm="1">
        <f t="array" ref="Z142">STABW</f>
        <v>#NAME?</v>
      </c>
      <c r="AA142" s="7"/>
      <c r="AB142" s="7"/>
      <c r="AC142" s="7" t="e">
        <f>Tabelle1563[[#This Row],[Standardabweichung 1]]/Tabelle1563[[#This Row],[Mean Visc. 1 '[mPas']]]</f>
        <v>#NAME?</v>
      </c>
      <c r="AD142" s="7" t="e">
        <f>Tabelle156[[#This Row],[Standardabweichung 2]]/Tabelle156[[#This Row],[Mean Visc. 2 '[mPas']2]]</f>
        <v>#VALUE!</v>
      </c>
      <c r="AE142" s="7" t="e">
        <f>Tabelle156[[#This Row],[Standardabweichung 3]]/Tabelle156[[#This Row],[Mean Visc. 3 '[mPas']3]]</f>
        <v>#VALUE!</v>
      </c>
      <c r="AF142" s="7"/>
      <c r="AG142" s="7" t="e">
        <f>1-Tabelle1563[[#This Row],[Mean Visc. 1 '[mPas']]]/#REF!</f>
        <v>#REF!</v>
      </c>
      <c r="AH142" s="7"/>
      <c r="AI142" s="7"/>
    </row>
    <row r="143" spans="1:35" x14ac:dyDescent="0.3">
      <c r="A143">
        <v>142</v>
      </c>
      <c r="B143" s="4"/>
      <c r="C143" s="5"/>
      <c r="D143" s="7">
        <v>5</v>
      </c>
      <c r="E143" t="s">
        <v>173</v>
      </c>
      <c r="G143" t="s">
        <v>161</v>
      </c>
      <c r="H143" s="11" t="s">
        <v>164</v>
      </c>
      <c r="I143" s="9" t="s">
        <v>12</v>
      </c>
      <c r="J143" s="7">
        <v>22.9</v>
      </c>
      <c r="K143" s="7">
        <v>22</v>
      </c>
      <c r="L143" s="7">
        <v>31.07</v>
      </c>
      <c r="M143" s="7">
        <v>387</v>
      </c>
      <c r="N143" s="7">
        <f>Tabelle1563[[#This Row],[Anzahl Frames]]/Tabelle1563[[#This Row],[Aufnahmezeit '[s']]]</f>
        <v>12.455745091728355</v>
      </c>
      <c r="O143" s="7">
        <f>1/Tabelle1563[[#This Row],[Mean fps ]]</f>
        <v>8.028423772609819E-2</v>
      </c>
      <c r="P143" s="7">
        <v>40</v>
      </c>
      <c r="S143" s="7">
        <v>1.4510000000000001</v>
      </c>
      <c r="T143" s="7">
        <v>1.2769999999999999</v>
      </c>
      <c r="U143" s="7">
        <v>1.782</v>
      </c>
      <c r="V143" s="7"/>
      <c r="W143" s="7"/>
      <c r="X143" s="7"/>
      <c r="Y143" s="7"/>
      <c r="Z143" s="7" t="e" cm="1">
        <f t="array" ref="Z143">STABW</f>
        <v>#NAME?</v>
      </c>
      <c r="AA143" s="7"/>
      <c r="AB143" s="7"/>
      <c r="AC143" s="7" t="e">
        <f>Tabelle1563[[#This Row],[Standardabweichung 1]]/Tabelle1563[[#This Row],[Mean Visc. 1 '[mPas']]]</f>
        <v>#NAME?</v>
      </c>
      <c r="AD143" s="7" t="e">
        <f>Tabelle156[[#This Row],[Standardabweichung 2]]/Tabelle156[[#This Row],[Mean Visc. 2 '[mPas']2]]</f>
        <v>#VALUE!</v>
      </c>
      <c r="AE143" s="7" t="e">
        <f>Tabelle156[[#This Row],[Standardabweichung 3]]/Tabelle156[[#This Row],[Mean Visc. 3 '[mPas']3]]</f>
        <v>#VALUE!</v>
      </c>
      <c r="AF143" s="7"/>
      <c r="AG143" s="7" t="e">
        <f>1-Tabelle1563[[#This Row],[Mean Visc. 1 '[mPas']]]/#REF!</f>
        <v>#REF!</v>
      </c>
      <c r="AH143" s="7"/>
      <c r="AI143" s="7"/>
    </row>
    <row r="144" spans="1:35" x14ac:dyDescent="0.3">
      <c r="A144">
        <v>143</v>
      </c>
      <c r="B144" s="4"/>
      <c r="C144" s="5"/>
      <c r="D144" s="7">
        <v>5</v>
      </c>
      <c r="E144" t="s">
        <v>173</v>
      </c>
      <c r="G144" t="s">
        <v>161</v>
      </c>
      <c r="H144" s="11" t="s">
        <v>164</v>
      </c>
      <c r="I144" s="9" t="s">
        <v>12</v>
      </c>
      <c r="J144" s="7">
        <v>22.8</v>
      </c>
      <c r="K144" s="7">
        <v>22</v>
      </c>
      <c r="L144" s="7">
        <v>30.56</v>
      </c>
      <c r="M144" s="7">
        <v>382</v>
      </c>
      <c r="N144" s="7">
        <f>Tabelle1563[[#This Row],[Anzahl Frames]]/Tabelle1563[[#This Row],[Aufnahmezeit '[s']]]</f>
        <v>12.5</v>
      </c>
      <c r="O144" s="7">
        <f>1/Tabelle1563[[#This Row],[Mean fps ]]</f>
        <v>0.08</v>
      </c>
      <c r="P144" s="7">
        <v>40</v>
      </c>
      <c r="S144" s="7">
        <v>1.552</v>
      </c>
      <c r="T144" s="7">
        <v>1.3440000000000001</v>
      </c>
      <c r="U144" s="7">
        <v>1.9490000000000001</v>
      </c>
      <c r="V144" s="7"/>
      <c r="W144" s="7"/>
      <c r="X144" s="7"/>
      <c r="Y144" s="7"/>
      <c r="Z144" s="7" t="e" cm="1">
        <f t="array" ref="Z144">STABW</f>
        <v>#NAME?</v>
      </c>
      <c r="AA144" s="7"/>
      <c r="AB144" s="7"/>
      <c r="AC144" s="7" t="e">
        <f>Tabelle1563[[#This Row],[Standardabweichung 1]]/Tabelle1563[[#This Row],[Mean Visc. 1 '[mPas']]]</f>
        <v>#NAME?</v>
      </c>
      <c r="AD144" s="7" t="e">
        <f>Tabelle156[[#This Row],[Standardabweichung 2]]/Tabelle156[[#This Row],[Mean Visc. 2 '[mPas']2]]</f>
        <v>#VALUE!</v>
      </c>
      <c r="AE144" s="7" t="e">
        <f>Tabelle156[[#This Row],[Standardabweichung 3]]/Tabelle156[[#This Row],[Mean Visc. 3 '[mPas']3]]</f>
        <v>#VALUE!</v>
      </c>
      <c r="AF144" s="7"/>
      <c r="AG144" s="7" t="e">
        <f>1-Tabelle1563[[#This Row],[Mean Visc. 1 '[mPas']]]/#REF!</f>
        <v>#REF!</v>
      </c>
      <c r="AH144" s="7"/>
      <c r="AI144" s="7"/>
    </row>
    <row r="145" spans="1:35" x14ac:dyDescent="0.3">
      <c r="A145">
        <v>144</v>
      </c>
      <c r="B145" s="4"/>
      <c r="C145" s="5"/>
      <c r="D145" s="7">
        <v>5</v>
      </c>
      <c r="E145" t="s">
        <v>173</v>
      </c>
      <c r="G145" t="s">
        <v>161</v>
      </c>
      <c r="H145" s="11" t="s">
        <v>164</v>
      </c>
      <c r="I145" s="9" t="s">
        <v>12</v>
      </c>
      <c r="J145" s="7">
        <v>22.8</v>
      </c>
      <c r="K145" s="7">
        <v>22</v>
      </c>
      <c r="L145" s="7">
        <v>31.03</v>
      </c>
      <c r="M145" s="7">
        <v>388</v>
      </c>
      <c r="N145" s="7">
        <f>Tabelle1563[[#This Row],[Anzahl Frames]]/Tabelle1563[[#This Row],[Aufnahmezeit '[s']]]</f>
        <v>12.504028359651949</v>
      </c>
      <c r="O145" s="7">
        <f>1/Tabelle1563[[#This Row],[Mean fps ]]</f>
        <v>7.9974226804123721E-2</v>
      </c>
      <c r="P145" s="7">
        <v>40</v>
      </c>
      <c r="S145" s="7">
        <v>1.58</v>
      </c>
      <c r="T145" s="7">
        <v>1.377</v>
      </c>
      <c r="U145" s="7">
        <v>2.004</v>
      </c>
      <c r="V145" s="7"/>
      <c r="W145" s="7"/>
      <c r="X145" s="7"/>
      <c r="Y145" s="7"/>
      <c r="Z145" s="7" t="e" cm="1">
        <f t="array" ref="Z145">STABW</f>
        <v>#NAME?</v>
      </c>
      <c r="AA145" s="7"/>
      <c r="AB145" s="7"/>
      <c r="AC145" s="7" t="e">
        <f>Tabelle1563[[#This Row],[Standardabweichung 1]]/Tabelle1563[[#This Row],[Mean Visc. 1 '[mPas']]]</f>
        <v>#NAME?</v>
      </c>
      <c r="AD145" s="7" t="e">
        <f>Tabelle156[[#This Row],[Standardabweichung 2]]/Tabelle156[[#This Row],[Mean Visc. 2 '[mPas']2]]</f>
        <v>#VALUE!</v>
      </c>
      <c r="AE145" s="7" t="e">
        <f>Tabelle156[[#This Row],[Standardabweichung 3]]/Tabelle156[[#This Row],[Mean Visc. 3 '[mPas']3]]</f>
        <v>#VALUE!</v>
      </c>
      <c r="AF145" s="7"/>
      <c r="AG145" s="7" t="e">
        <f>1-Tabelle1563[[#This Row],[Mean Visc. 1 '[mPas']]]/#REF!</f>
        <v>#REF!</v>
      </c>
      <c r="AH145" s="7"/>
      <c r="AI145" s="7"/>
    </row>
    <row r="146" spans="1:35" s="14" customFormat="1" ht="15" thickBot="1" x14ac:dyDescent="0.35">
      <c r="A146">
        <v>145</v>
      </c>
      <c r="B146" s="15"/>
      <c r="C146" s="16"/>
      <c r="D146" s="7">
        <v>5</v>
      </c>
      <c r="E146" s="14" t="s">
        <v>173</v>
      </c>
      <c r="G146" s="14" t="s">
        <v>161</v>
      </c>
      <c r="H146" s="21" t="s">
        <v>164</v>
      </c>
      <c r="I146" s="19" t="s">
        <v>12</v>
      </c>
      <c r="J146" s="17">
        <v>22.9</v>
      </c>
      <c r="K146" s="17">
        <v>22</v>
      </c>
      <c r="L146" s="17">
        <v>30.32</v>
      </c>
      <c r="M146" s="17">
        <v>380</v>
      </c>
      <c r="N146" s="17">
        <f>Tabelle1563[[#This Row],[Anzahl Frames]]/Tabelle1563[[#This Row],[Aufnahmezeit '[s']]]</f>
        <v>12.532981530343008</v>
      </c>
      <c r="O146" s="17">
        <f>1/Tabelle1563[[#This Row],[Mean fps ]]</f>
        <v>7.9789473684210521E-2</v>
      </c>
      <c r="P146" s="17">
        <v>40</v>
      </c>
      <c r="Q146" s="20"/>
      <c r="R146" s="21"/>
      <c r="S146" s="17">
        <v>1.6719999999999999</v>
      </c>
      <c r="T146" s="17">
        <v>1.329</v>
      </c>
      <c r="U146" s="17">
        <v>1.8460000000000001</v>
      </c>
      <c r="V146" s="17"/>
      <c r="W146" s="17"/>
      <c r="X146" s="17"/>
      <c r="Y146" s="17"/>
      <c r="Z146" s="17" t="e" cm="1">
        <f t="array" ref="Z146">STABW</f>
        <v>#NAME?</v>
      </c>
      <c r="AA146" s="17"/>
      <c r="AB146" s="17"/>
      <c r="AC146" s="17" t="e">
        <f>Tabelle1563[[#This Row],[Standardabweichung 1]]/Tabelle1563[[#This Row],[Mean Visc. 1 '[mPas']]]</f>
        <v>#NAME?</v>
      </c>
      <c r="AD146" s="17" t="e">
        <f>Tabelle156[[#This Row],[Standardabweichung 2]]/Tabelle156[[#This Row],[Mean Visc. 2 '[mPas']2]]</f>
        <v>#VALUE!</v>
      </c>
      <c r="AE146" s="17" t="e">
        <f>Tabelle156[[#This Row],[Standardabweichung 3]]/Tabelle156[[#This Row],[Mean Visc. 3 '[mPas']3]]</f>
        <v>#VALUE!</v>
      </c>
      <c r="AF146" s="17"/>
      <c r="AG146" s="17" t="e">
        <f>1-Tabelle1563[[#This Row],[Mean Visc. 1 '[mPas']]]/#REF!</f>
        <v>#REF!</v>
      </c>
      <c r="AH146" s="17"/>
      <c r="AI146" s="17"/>
    </row>
    <row r="147" spans="1:35" ht="15" thickTop="1" x14ac:dyDescent="0.3">
      <c r="A147">
        <v>146</v>
      </c>
      <c r="B147" s="4"/>
      <c r="C147" s="5"/>
      <c r="D147" s="7">
        <v>5</v>
      </c>
      <c r="E147" t="s">
        <v>173</v>
      </c>
      <c r="G147" t="s">
        <v>161</v>
      </c>
      <c r="H147" s="11" t="s">
        <v>164</v>
      </c>
      <c r="I147" s="9" t="s">
        <v>12</v>
      </c>
      <c r="J147" s="7">
        <v>22.9</v>
      </c>
      <c r="K147" s="7">
        <v>22</v>
      </c>
      <c r="L147" s="7">
        <v>30.16</v>
      </c>
      <c r="M147" s="7">
        <v>377</v>
      </c>
      <c r="N147" s="7">
        <f>Tabelle1563[[#This Row],[Anzahl Frames]]/Tabelle1563[[#This Row],[Aufnahmezeit '[s']]]</f>
        <v>12.5</v>
      </c>
      <c r="O147" s="7">
        <f>1/Tabelle1563[[#This Row],[Mean fps ]]</f>
        <v>0.08</v>
      </c>
      <c r="P147" s="7">
        <v>40</v>
      </c>
      <c r="S147" s="7">
        <v>1.4419999999999999</v>
      </c>
      <c r="T147" s="7">
        <v>1.2090000000000001</v>
      </c>
      <c r="U147" s="7">
        <v>1.9530000000000001</v>
      </c>
      <c r="V147" s="7"/>
      <c r="W147" s="7"/>
      <c r="X147" s="7"/>
      <c r="Y147" s="7"/>
      <c r="Z147" s="7" t="e" cm="1">
        <f t="array" ref="Z147">STABW</f>
        <v>#NAME?</v>
      </c>
      <c r="AA147" s="7"/>
      <c r="AB147" s="7"/>
      <c r="AC147" s="7" t="e">
        <f>Tabelle1563[[#This Row],[Standardabweichung 1]]/Tabelle1563[[#This Row],[Mean Visc. 1 '[mPas']]]</f>
        <v>#NAME?</v>
      </c>
      <c r="AD147" s="7" t="e">
        <f>Tabelle156[[#This Row],[Standardabweichung 2]]/Tabelle156[[#This Row],[Mean Visc. 2 '[mPas']2]]</f>
        <v>#VALUE!</v>
      </c>
      <c r="AE147" s="7" t="e">
        <f>Tabelle156[[#This Row],[Standardabweichung 3]]/Tabelle156[[#This Row],[Mean Visc. 3 '[mPas']3]]</f>
        <v>#VALUE!</v>
      </c>
      <c r="AF147" s="7"/>
      <c r="AG147" s="7" t="e">
        <f>1-Tabelle1563[[#This Row],[Mean Visc. 1 '[mPas']]]/#REF!</f>
        <v>#REF!</v>
      </c>
      <c r="AH147" s="7"/>
      <c r="AI147" s="7"/>
    </row>
    <row r="148" spans="1:35" x14ac:dyDescent="0.3">
      <c r="A148">
        <v>147</v>
      </c>
      <c r="B148" s="4"/>
      <c r="C148" s="5"/>
      <c r="D148" s="7">
        <v>5</v>
      </c>
      <c r="E148" t="s">
        <v>173</v>
      </c>
      <c r="G148" t="s">
        <v>161</v>
      </c>
      <c r="H148" s="11" t="s">
        <v>164</v>
      </c>
      <c r="I148" s="9" t="s">
        <v>12</v>
      </c>
      <c r="J148" s="7">
        <v>22.9</v>
      </c>
      <c r="K148" s="7">
        <v>22</v>
      </c>
      <c r="L148" s="7">
        <v>30.4</v>
      </c>
      <c r="M148" s="7">
        <v>381</v>
      </c>
      <c r="N148" s="7">
        <f>Tabelle1563[[#This Row],[Anzahl Frames]]/Tabelle1563[[#This Row],[Aufnahmezeit '[s']]]</f>
        <v>12.532894736842106</v>
      </c>
      <c r="O148" s="7">
        <f>1/Tabelle1563[[#This Row],[Mean fps ]]</f>
        <v>7.9790026246719159E-2</v>
      </c>
      <c r="P148" s="7">
        <v>40</v>
      </c>
      <c r="S148" s="7">
        <v>1.524</v>
      </c>
      <c r="T148" s="7">
        <v>1.2829999999999999</v>
      </c>
      <c r="U148" s="7">
        <v>1.9419999999999999</v>
      </c>
      <c r="V148" s="7"/>
      <c r="W148" s="7"/>
      <c r="X148" s="7"/>
      <c r="Y148" s="7"/>
      <c r="Z148" s="7" t="e" cm="1">
        <f t="array" ref="Z148">STABW</f>
        <v>#NAME?</v>
      </c>
      <c r="AA148" s="7"/>
      <c r="AB148" s="7"/>
      <c r="AC148" s="7" t="e">
        <f>Tabelle1563[[#This Row],[Standardabweichung 1]]/Tabelle1563[[#This Row],[Mean Visc. 1 '[mPas']]]</f>
        <v>#NAME?</v>
      </c>
      <c r="AD148" s="7" t="e">
        <f>Tabelle156[[#This Row],[Standardabweichung 2]]/Tabelle156[[#This Row],[Mean Visc. 2 '[mPas']2]]</f>
        <v>#VALUE!</v>
      </c>
      <c r="AE148" s="7" t="e">
        <f>Tabelle156[[#This Row],[Standardabweichung 3]]/Tabelle156[[#This Row],[Mean Visc. 3 '[mPas']3]]</f>
        <v>#VALUE!</v>
      </c>
      <c r="AF148" s="7"/>
      <c r="AG148" s="7" t="e">
        <f>1-Tabelle1563[[#This Row],[Mean Visc. 1 '[mPas']]]/#REF!</f>
        <v>#REF!</v>
      </c>
      <c r="AH148" s="7"/>
      <c r="AI148" s="7"/>
    </row>
    <row r="149" spans="1:35" x14ac:dyDescent="0.3">
      <c r="A149">
        <v>148</v>
      </c>
      <c r="B149" s="4"/>
      <c r="C149" s="5"/>
      <c r="D149" s="7">
        <v>5</v>
      </c>
      <c r="E149" t="s">
        <v>173</v>
      </c>
      <c r="G149" t="s">
        <v>161</v>
      </c>
      <c r="H149" s="11" t="s">
        <v>164</v>
      </c>
      <c r="I149" s="9" t="s">
        <v>12</v>
      </c>
      <c r="J149" s="7">
        <v>23</v>
      </c>
      <c r="K149" s="7">
        <v>22</v>
      </c>
      <c r="L149" s="7">
        <v>30.64</v>
      </c>
      <c r="M149" s="7">
        <v>384</v>
      </c>
      <c r="N149" s="7">
        <f>Tabelle1563[[#This Row],[Anzahl Frames]]/Tabelle1563[[#This Row],[Aufnahmezeit '[s']]]</f>
        <v>12.532637075718016</v>
      </c>
      <c r="O149" s="7">
        <f>1/Tabelle1563[[#This Row],[Mean fps ]]</f>
        <v>7.9791666666666664E-2</v>
      </c>
      <c r="P149" s="7">
        <v>40</v>
      </c>
      <c r="S149" s="7">
        <v>1.5620000000000001</v>
      </c>
      <c r="T149" s="7">
        <v>1.327</v>
      </c>
      <c r="U149" s="7">
        <v>2</v>
      </c>
      <c r="V149" s="7"/>
      <c r="W149" s="7"/>
      <c r="X149" s="7"/>
      <c r="Y149" s="7"/>
      <c r="Z149" s="7" t="e" cm="1">
        <f t="array" ref="Z149">STABW</f>
        <v>#NAME?</v>
      </c>
      <c r="AA149" s="7"/>
      <c r="AB149" s="7"/>
      <c r="AC149" s="7" t="e">
        <f>Tabelle1563[[#This Row],[Standardabweichung 1]]/Tabelle1563[[#This Row],[Mean Visc. 1 '[mPas']]]</f>
        <v>#NAME?</v>
      </c>
      <c r="AD149" s="7" t="e">
        <f>Tabelle156[[#This Row],[Standardabweichung 2]]/Tabelle156[[#This Row],[Mean Visc. 2 '[mPas']2]]</f>
        <v>#VALUE!</v>
      </c>
      <c r="AE149" s="7" t="e">
        <f>Tabelle156[[#This Row],[Standardabweichung 3]]/Tabelle156[[#This Row],[Mean Visc. 3 '[mPas']3]]</f>
        <v>#VALUE!</v>
      </c>
      <c r="AF149" s="7"/>
      <c r="AG149" s="7" t="e">
        <f>1-Tabelle1563[[#This Row],[Mean Visc. 1 '[mPas']]]/#REF!</f>
        <v>#REF!</v>
      </c>
      <c r="AH149" s="7"/>
      <c r="AI149" s="7"/>
    </row>
    <row r="150" spans="1:35" x14ac:dyDescent="0.3">
      <c r="A150">
        <v>149</v>
      </c>
      <c r="B150" s="4"/>
      <c r="C150" s="5"/>
      <c r="D150" s="7">
        <v>5</v>
      </c>
      <c r="E150" t="s">
        <v>173</v>
      </c>
      <c r="G150" t="s">
        <v>161</v>
      </c>
      <c r="H150" s="11" t="s">
        <v>164</v>
      </c>
      <c r="I150" s="9" t="s">
        <v>12</v>
      </c>
      <c r="J150" s="7">
        <v>23</v>
      </c>
      <c r="K150" s="7">
        <v>22</v>
      </c>
      <c r="L150" s="7">
        <v>30</v>
      </c>
      <c r="M150" s="7">
        <v>376</v>
      </c>
      <c r="N150" s="7">
        <f>Tabelle1563[[#This Row],[Anzahl Frames]]/Tabelle1563[[#This Row],[Aufnahmezeit '[s']]]</f>
        <v>12.533333333333333</v>
      </c>
      <c r="O150" s="7">
        <f>1/Tabelle1563[[#This Row],[Mean fps ]]</f>
        <v>7.9787234042553196E-2</v>
      </c>
      <c r="P150" s="7">
        <v>40</v>
      </c>
      <c r="S150" s="7">
        <v>1.292</v>
      </c>
      <c r="T150" s="7">
        <v>1.093</v>
      </c>
      <c r="U150" s="7">
        <v>1.4630000000000001</v>
      </c>
      <c r="V150" s="7"/>
      <c r="W150" s="7"/>
      <c r="X150" s="7"/>
      <c r="Y150" s="7"/>
      <c r="Z150" s="7" t="e" cm="1">
        <f t="array" ref="Z150">STABW</f>
        <v>#NAME?</v>
      </c>
      <c r="AA150" s="7"/>
      <c r="AB150" s="7"/>
      <c r="AC150" s="7" t="e">
        <f>Tabelle1563[[#This Row],[Standardabweichung 1]]/Tabelle1563[[#This Row],[Mean Visc. 1 '[mPas']]]</f>
        <v>#NAME?</v>
      </c>
      <c r="AD150" s="7" t="e">
        <f>Tabelle156[[#This Row],[Standardabweichung 2]]/Tabelle156[[#This Row],[Mean Visc. 2 '[mPas']2]]</f>
        <v>#VALUE!</v>
      </c>
      <c r="AE150" s="7" t="e">
        <f>Tabelle156[[#This Row],[Standardabweichung 3]]/Tabelle156[[#This Row],[Mean Visc. 3 '[mPas']3]]</f>
        <v>#VALUE!</v>
      </c>
      <c r="AF150" s="7"/>
      <c r="AG150" s="7" t="e">
        <f>1-Tabelle1563[[#This Row],[Mean Visc. 1 '[mPas']]]/#REF!</f>
        <v>#REF!</v>
      </c>
      <c r="AH150" s="7"/>
      <c r="AI150" s="7"/>
    </row>
    <row r="151" spans="1:35" s="14" customFormat="1" ht="15" thickBot="1" x14ac:dyDescent="0.35">
      <c r="A151">
        <v>150</v>
      </c>
      <c r="B151" s="15"/>
      <c r="C151" s="16"/>
      <c r="D151" s="7">
        <v>5</v>
      </c>
      <c r="E151" s="14" t="s">
        <v>173</v>
      </c>
      <c r="G151" s="14" t="s">
        <v>161</v>
      </c>
      <c r="H151" s="21" t="s">
        <v>164</v>
      </c>
      <c r="I151" s="19" t="s">
        <v>12</v>
      </c>
      <c r="J151" s="17">
        <v>23.1</v>
      </c>
      <c r="K151" s="17">
        <v>22</v>
      </c>
      <c r="L151" s="17">
        <v>30.56</v>
      </c>
      <c r="M151" s="17">
        <v>382</v>
      </c>
      <c r="N151" s="17">
        <f>Tabelle1563[[#This Row],[Anzahl Frames]]/Tabelle1563[[#This Row],[Aufnahmezeit '[s']]]</f>
        <v>12.5</v>
      </c>
      <c r="O151" s="17">
        <f>1/Tabelle1563[[#This Row],[Mean fps ]]</f>
        <v>0.08</v>
      </c>
      <c r="P151" s="17">
        <v>40</v>
      </c>
      <c r="Q151" s="20"/>
      <c r="R151" s="21"/>
      <c r="S151" s="17">
        <v>1.466</v>
      </c>
      <c r="T151" s="17">
        <v>1.167</v>
      </c>
      <c r="U151" s="17">
        <v>1.827</v>
      </c>
      <c r="V151" s="17"/>
      <c r="W151" s="7">
        <f>SUM(S142:S151)/10</f>
        <v>1.5086999999999997</v>
      </c>
      <c r="X151" s="7">
        <f>SUM(T142:T151)/10</f>
        <v>1.2609999999999999</v>
      </c>
      <c r="Y151" s="7">
        <f t="shared" ref="Y151" si="38">SUM(U142:U151)/10</f>
        <v>1.8409999999999997</v>
      </c>
      <c r="Z151" s="17">
        <f>_xlfn.STDEV.S(S142:S151)</f>
        <v>0.10255193806067245</v>
      </c>
      <c r="AA151" s="17">
        <f t="shared" ref="AA151" si="39">_xlfn.STDEV.S(T142:T151)</f>
        <v>9.0109809553554021E-2</v>
      </c>
      <c r="AB151" s="17">
        <f>_xlfn.STDEV.S(U142:U151)</f>
        <v>0.1737347915006599</v>
      </c>
      <c r="AC151" s="17">
        <f>Tabelle1563[[#This Row],[Standardabweichung 1]]/Tabelle1563[[#This Row],[Mean Visc. 1 '[mPas']]]</f>
        <v>6.7973711182257882E-2</v>
      </c>
      <c r="AD151" s="17">
        <f>Tabelle1563[[#This Row],[Standardabweichung 2]]/Tabelle1563[[#This Row],[Mean Visc. 2 '[mPas']2]]</f>
        <v>7.1459008369194318E-2</v>
      </c>
      <c r="AE151" s="17">
        <f>Tabelle1563[[#This Row],[Standardabweichung 3]]/Tabelle1563[[#This Row],[Mean Visc. 3 '[mPas']3]]</f>
        <v>9.4369794405573013E-2</v>
      </c>
      <c r="AF151" s="17"/>
      <c r="AG151" s="17" t="e">
        <f>1-Tabelle1563[[#This Row],[Mean Visc. 1 '[mPas']]]/#REF!</f>
        <v>#REF!</v>
      </c>
      <c r="AH151" s="17"/>
      <c r="AI151" s="17"/>
    </row>
    <row r="152" spans="1:35" ht="15" thickTop="1" x14ac:dyDescent="0.3">
      <c r="A152">
        <v>151</v>
      </c>
      <c r="B152" s="4"/>
      <c r="C152" s="5"/>
      <c r="D152" s="7">
        <v>6</v>
      </c>
      <c r="E152" t="s">
        <v>171</v>
      </c>
      <c r="G152" t="s">
        <v>161</v>
      </c>
      <c r="H152" s="11" t="s">
        <v>160</v>
      </c>
      <c r="I152" s="9" t="s">
        <v>12</v>
      </c>
      <c r="J152" s="7">
        <v>23</v>
      </c>
      <c r="K152" s="7">
        <v>14</v>
      </c>
      <c r="L152" s="7">
        <v>29.24</v>
      </c>
      <c r="M152" s="7">
        <v>370</v>
      </c>
      <c r="N152" s="7">
        <f>Tabelle1563[[#This Row],[Anzahl Frames]]/Tabelle1563[[#This Row],[Aufnahmezeit '[s']]]</f>
        <v>12.653898768809849</v>
      </c>
      <c r="O152" s="7">
        <f>1/Tabelle1563[[#This Row],[Mean fps ]]</f>
        <v>7.9027027027027033E-2</v>
      </c>
      <c r="P152" s="7">
        <v>40</v>
      </c>
      <c r="S152" s="7">
        <v>0.876</v>
      </c>
      <c r="T152" s="7">
        <v>0.72499999999999998</v>
      </c>
      <c r="U152" s="7">
        <v>1.327</v>
      </c>
      <c r="V152" s="7"/>
      <c r="W152" s="7"/>
      <c r="X152" s="7"/>
      <c r="Y152" s="7"/>
      <c r="Z152" s="7" t="e" cm="1">
        <f t="array" ref="Z152">STABW</f>
        <v>#NAME?</v>
      </c>
      <c r="AA152" s="7"/>
      <c r="AB152" s="7"/>
      <c r="AC152" s="7" t="e">
        <f>Tabelle1563[[#This Row],[Standardabweichung 1]]/Tabelle1563[[#This Row],[Mean Visc. 1 '[mPas']]]</f>
        <v>#NAME?</v>
      </c>
      <c r="AD152" s="7" t="e">
        <f>Tabelle156[[#This Row],[Standardabweichung 2]]/Tabelle156[[#This Row],[Mean Visc. 2 '[mPas']2]]</f>
        <v>#VALUE!</v>
      </c>
      <c r="AE152" s="7" t="e">
        <f>Tabelle156[[#This Row],[Standardabweichung 3]]/Tabelle156[[#This Row],[Mean Visc. 3 '[mPas']3]]</f>
        <v>#VALUE!</v>
      </c>
      <c r="AF152" s="7"/>
      <c r="AG152" s="7" t="e">
        <f>1-Tabelle1563[[#This Row],[Mean Visc. 1 '[mPas']]]/#REF!</f>
        <v>#REF!</v>
      </c>
      <c r="AH152" s="7"/>
      <c r="AI152" s="7"/>
    </row>
    <row r="153" spans="1:35" x14ac:dyDescent="0.3">
      <c r="A153">
        <v>152</v>
      </c>
      <c r="B153" s="4"/>
      <c r="C153" s="5"/>
      <c r="D153" s="7">
        <v>6</v>
      </c>
      <c r="E153" t="s">
        <v>171</v>
      </c>
      <c r="G153" t="s">
        <v>161</v>
      </c>
      <c r="H153" s="11" t="s">
        <v>160</v>
      </c>
      <c r="I153" s="9" t="s">
        <v>12</v>
      </c>
      <c r="J153" s="7">
        <v>23.1</v>
      </c>
      <c r="K153" s="7">
        <v>14</v>
      </c>
      <c r="L153" s="7">
        <v>31.44</v>
      </c>
      <c r="M153" s="7">
        <v>393</v>
      </c>
      <c r="N153" s="7">
        <f>Tabelle1563[[#This Row],[Anzahl Frames]]/Tabelle1563[[#This Row],[Aufnahmezeit '[s']]]</f>
        <v>12.5</v>
      </c>
      <c r="O153" s="7">
        <f>1/Tabelle1563[[#This Row],[Mean fps ]]</f>
        <v>0.08</v>
      </c>
      <c r="P153" s="7">
        <v>40</v>
      </c>
      <c r="S153" s="7">
        <v>0.92900000000000005</v>
      </c>
      <c r="T153" s="7">
        <v>0.755</v>
      </c>
      <c r="U153" s="7">
        <v>1.3069999999999999</v>
      </c>
      <c r="V153" s="7"/>
      <c r="W153" s="7"/>
      <c r="X153" s="7"/>
      <c r="Y153" s="7"/>
      <c r="Z153" s="7" t="e" cm="1">
        <f t="array" ref="Z153">STABW</f>
        <v>#NAME?</v>
      </c>
      <c r="AA153" s="7"/>
      <c r="AB153" s="7"/>
      <c r="AC153" s="7" t="e">
        <f>Tabelle1563[[#This Row],[Standardabweichung 1]]/Tabelle1563[[#This Row],[Mean Visc. 1 '[mPas']]]</f>
        <v>#NAME?</v>
      </c>
      <c r="AD153" s="7" t="e">
        <f>Tabelle156[[#This Row],[Standardabweichung 2]]/Tabelle156[[#This Row],[Mean Visc. 2 '[mPas']2]]</f>
        <v>#VALUE!</v>
      </c>
      <c r="AE153" s="7" t="e">
        <f>Tabelle156[[#This Row],[Standardabweichung 3]]/Tabelle156[[#This Row],[Mean Visc. 3 '[mPas']3]]</f>
        <v>#VALUE!</v>
      </c>
      <c r="AF153" s="7"/>
      <c r="AG153" s="7" t="e">
        <f>1-Tabelle1563[[#This Row],[Mean Visc. 1 '[mPas']]]/#REF!</f>
        <v>#REF!</v>
      </c>
      <c r="AH153" s="7"/>
      <c r="AI153" s="7"/>
    </row>
    <row r="154" spans="1:35" x14ac:dyDescent="0.3">
      <c r="A154">
        <v>153</v>
      </c>
      <c r="B154" s="4"/>
      <c r="C154" s="5"/>
      <c r="D154" s="7">
        <v>6</v>
      </c>
      <c r="E154" t="s">
        <v>171</v>
      </c>
      <c r="G154" t="s">
        <v>161</v>
      </c>
      <c r="H154" s="11" t="s">
        <v>160</v>
      </c>
      <c r="I154" s="9" t="s">
        <v>12</v>
      </c>
      <c r="J154" s="7">
        <v>23.1</v>
      </c>
      <c r="K154" s="7">
        <v>14</v>
      </c>
      <c r="L154" s="7">
        <v>32.159999999999997</v>
      </c>
      <c r="M154" s="7">
        <v>402</v>
      </c>
      <c r="N154" s="7">
        <f>Tabelle1563[[#This Row],[Anzahl Frames]]/Tabelle1563[[#This Row],[Aufnahmezeit '[s']]]</f>
        <v>12.500000000000002</v>
      </c>
      <c r="O154" s="7">
        <f>1/Tabelle1563[[#This Row],[Mean fps ]]</f>
        <v>7.9999999999999988E-2</v>
      </c>
      <c r="P154" s="7">
        <v>40</v>
      </c>
      <c r="S154" s="7">
        <v>0.88900000000000001</v>
      </c>
      <c r="T154" s="7">
        <v>0.79200000000000004</v>
      </c>
      <c r="U154" s="7">
        <v>1.3169999999999999</v>
      </c>
      <c r="V154" s="7"/>
      <c r="W154" s="7"/>
      <c r="X154" s="7"/>
      <c r="Y154" s="7"/>
      <c r="Z154" s="7" t="e" cm="1">
        <f t="array" ref="Z154">STABW</f>
        <v>#NAME?</v>
      </c>
      <c r="AA154" s="7"/>
      <c r="AB154" s="7"/>
      <c r="AC154" s="7" t="e">
        <f>Tabelle1563[[#This Row],[Standardabweichung 1]]/Tabelle1563[[#This Row],[Mean Visc. 1 '[mPas']]]</f>
        <v>#NAME?</v>
      </c>
      <c r="AD154" s="7" t="e">
        <f>Tabelle156[[#This Row],[Standardabweichung 2]]/Tabelle156[[#This Row],[Mean Visc. 2 '[mPas']2]]</f>
        <v>#VALUE!</v>
      </c>
      <c r="AE154" s="7" t="e">
        <f>Tabelle156[[#This Row],[Standardabweichung 3]]/Tabelle156[[#This Row],[Mean Visc. 3 '[mPas']3]]</f>
        <v>#VALUE!</v>
      </c>
      <c r="AF154" s="7"/>
      <c r="AG154" s="7" t="e">
        <f>1-Tabelle1563[[#This Row],[Mean Visc. 1 '[mPas']]]/#REF!</f>
        <v>#REF!</v>
      </c>
      <c r="AH154" s="7"/>
      <c r="AI154" s="7"/>
    </row>
    <row r="155" spans="1:35" x14ac:dyDescent="0.3">
      <c r="A155">
        <v>154</v>
      </c>
      <c r="B155" s="4"/>
      <c r="C155" s="5"/>
      <c r="D155" s="7">
        <v>6</v>
      </c>
      <c r="E155" t="s">
        <v>171</v>
      </c>
      <c r="G155" t="s">
        <v>161</v>
      </c>
      <c r="H155" s="11" t="s">
        <v>160</v>
      </c>
      <c r="I155" s="9" t="s">
        <v>12</v>
      </c>
      <c r="J155" s="7">
        <v>23.1</v>
      </c>
      <c r="K155" s="7">
        <v>14</v>
      </c>
      <c r="L155" s="7">
        <v>31.12</v>
      </c>
      <c r="M155" s="7">
        <v>389</v>
      </c>
      <c r="N155" s="7">
        <f>Tabelle1563[[#This Row],[Anzahl Frames]]/Tabelle1563[[#This Row],[Aufnahmezeit '[s']]]</f>
        <v>12.5</v>
      </c>
      <c r="O155" s="7">
        <f>1/Tabelle1563[[#This Row],[Mean fps ]]</f>
        <v>0.08</v>
      </c>
      <c r="P155" s="7">
        <v>40</v>
      </c>
      <c r="S155" s="7">
        <v>0.97699999999999998</v>
      </c>
      <c r="T155" s="7">
        <v>0.80400000000000005</v>
      </c>
      <c r="U155" s="7">
        <v>1.3540000000000001</v>
      </c>
      <c r="V155" s="7"/>
      <c r="W155" s="7"/>
      <c r="X155" s="7"/>
      <c r="Y155" s="7"/>
      <c r="Z155" s="7" t="e" cm="1">
        <f t="array" ref="Z155">STABW</f>
        <v>#NAME?</v>
      </c>
      <c r="AA155" s="7"/>
      <c r="AB155" s="7"/>
      <c r="AC155" s="7" t="e">
        <f>Tabelle1563[[#This Row],[Standardabweichung 1]]/Tabelle1563[[#This Row],[Mean Visc. 1 '[mPas']]]</f>
        <v>#NAME?</v>
      </c>
      <c r="AD155" s="7" t="e">
        <f>Tabelle156[[#This Row],[Standardabweichung 2]]/Tabelle156[[#This Row],[Mean Visc. 2 '[mPas']2]]</f>
        <v>#VALUE!</v>
      </c>
      <c r="AE155" s="7" t="e">
        <f>Tabelle156[[#This Row],[Standardabweichung 3]]/Tabelle156[[#This Row],[Mean Visc. 3 '[mPas']3]]</f>
        <v>#VALUE!</v>
      </c>
      <c r="AF155" s="7"/>
      <c r="AG155" s="7" t="e">
        <f>1-Tabelle1563[[#This Row],[Mean Visc. 1 '[mPas']]]/#REF!</f>
        <v>#REF!</v>
      </c>
      <c r="AH155" s="7"/>
      <c r="AI155" s="7"/>
    </row>
    <row r="156" spans="1:35" ht="15" thickBot="1" x14ac:dyDescent="0.35">
      <c r="A156">
        <v>155</v>
      </c>
      <c r="B156" s="4"/>
      <c r="C156" s="5"/>
      <c r="D156" s="7">
        <v>6</v>
      </c>
      <c r="E156" t="s">
        <v>171</v>
      </c>
      <c r="G156" t="s">
        <v>161</v>
      </c>
      <c r="H156" s="11" t="s">
        <v>160</v>
      </c>
      <c r="I156" s="9" t="s">
        <v>12</v>
      </c>
      <c r="J156" s="17">
        <v>23.2</v>
      </c>
      <c r="K156" s="17">
        <v>14</v>
      </c>
      <c r="L156" s="17">
        <v>30.16</v>
      </c>
      <c r="M156" s="17">
        <v>378</v>
      </c>
      <c r="N156" s="7">
        <f>Tabelle1563[[#This Row],[Anzahl Frames]]/Tabelle1563[[#This Row],[Aufnahmezeit '[s']]]</f>
        <v>12.53315649867374</v>
      </c>
      <c r="O156" s="7">
        <f>1/Tabelle1563[[#This Row],[Mean fps ]]</f>
        <v>7.9788359788359783E-2</v>
      </c>
      <c r="P156" s="7">
        <v>40</v>
      </c>
      <c r="S156" s="17">
        <v>0.89600000000000002</v>
      </c>
      <c r="T156" s="17">
        <v>0.71</v>
      </c>
      <c r="U156" s="17">
        <v>1.292</v>
      </c>
      <c r="V156" s="7"/>
      <c r="W156" s="7"/>
      <c r="X156" s="7"/>
      <c r="Y156" s="7"/>
      <c r="Z156" s="7" t="e" cm="1">
        <f t="array" ref="Z156">STABW</f>
        <v>#NAME?</v>
      </c>
      <c r="AA156" s="7"/>
      <c r="AB156" s="7"/>
      <c r="AC156" s="7" t="e">
        <f>Tabelle1563[[#This Row],[Standardabweichung 1]]/Tabelle1563[[#This Row],[Mean Visc. 1 '[mPas']]]</f>
        <v>#NAME?</v>
      </c>
      <c r="AD156" s="7" t="e">
        <f>Tabelle156[[#This Row],[Standardabweichung 2]]/Tabelle156[[#This Row],[Mean Visc. 2 '[mPas']2]]</f>
        <v>#VALUE!</v>
      </c>
      <c r="AE156" s="7" t="e">
        <f>Tabelle156[[#This Row],[Standardabweichung 3]]/Tabelle156[[#This Row],[Mean Visc. 3 '[mPas']3]]</f>
        <v>#VALUE!</v>
      </c>
      <c r="AF156" s="7"/>
      <c r="AG156" s="7" t="e">
        <f>1-Tabelle1563[[#This Row],[Mean Visc. 1 '[mPas']]]/#REF!</f>
        <v>#REF!</v>
      </c>
      <c r="AH156" s="7"/>
      <c r="AI156" s="7"/>
    </row>
    <row r="157" spans="1:35" ht="15" thickTop="1" x14ac:dyDescent="0.3">
      <c r="A157">
        <v>156</v>
      </c>
      <c r="B157" s="4"/>
      <c r="C157" s="5"/>
      <c r="D157" s="7">
        <v>6</v>
      </c>
      <c r="E157" t="s">
        <v>171</v>
      </c>
      <c r="G157" t="s">
        <v>161</v>
      </c>
      <c r="H157" s="11" t="s">
        <v>160</v>
      </c>
      <c r="I157" s="9" t="s">
        <v>12</v>
      </c>
      <c r="J157" s="7">
        <v>23.3</v>
      </c>
      <c r="K157" s="7">
        <v>14</v>
      </c>
      <c r="L157" s="7">
        <v>30.98</v>
      </c>
      <c r="M157" s="7">
        <v>387</v>
      </c>
      <c r="N157" s="7">
        <f>Tabelle1563[[#This Row],[Anzahl Frames]]/Tabelle1563[[#This Row],[Aufnahmezeit '[s']]]</f>
        <v>12.491930277598451</v>
      </c>
      <c r="O157" s="7">
        <f>1/Tabelle1563[[#This Row],[Mean fps ]]</f>
        <v>8.0051679586563312E-2</v>
      </c>
      <c r="P157" s="7">
        <v>40</v>
      </c>
      <c r="S157" s="7">
        <v>0.85499999999999998</v>
      </c>
      <c r="T157" s="7">
        <v>0.68700000000000006</v>
      </c>
      <c r="U157" s="7">
        <v>1.361</v>
      </c>
      <c r="V157" s="7"/>
      <c r="W157" s="7"/>
      <c r="X157" s="7"/>
      <c r="Y157" s="7"/>
      <c r="Z157" s="7" t="e" cm="1">
        <f t="array" ref="Z157">STABW</f>
        <v>#NAME?</v>
      </c>
      <c r="AA157" s="7"/>
      <c r="AB157" s="7"/>
      <c r="AC157" s="7" t="e">
        <f>Tabelle1563[[#This Row],[Standardabweichung 1]]/Tabelle1563[[#This Row],[Mean Visc. 1 '[mPas']]]</f>
        <v>#NAME?</v>
      </c>
      <c r="AD157" s="7" t="e">
        <f>Tabelle156[[#This Row],[Standardabweichung 2]]/Tabelle156[[#This Row],[Mean Visc. 2 '[mPas']2]]</f>
        <v>#VALUE!</v>
      </c>
      <c r="AE157" s="7" t="e">
        <f>Tabelle156[[#This Row],[Standardabweichung 3]]/Tabelle156[[#This Row],[Mean Visc. 3 '[mPas']3]]</f>
        <v>#VALUE!</v>
      </c>
      <c r="AF157" s="7"/>
      <c r="AG157" s="7" t="e">
        <f>1-Tabelle1563[[#This Row],[Mean Visc. 1 '[mPas']]]/#REF!</f>
        <v>#REF!</v>
      </c>
      <c r="AH157" s="7"/>
      <c r="AI157" s="7"/>
    </row>
    <row r="158" spans="1:35" x14ac:dyDescent="0.3">
      <c r="A158">
        <v>157</v>
      </c>
      <c r="B158" s="4"/>
      <c r="C158" s="5"/>
      <c r="D158" s="7">
        <v>6</v>
      </c>
      <c r="E158" t="s">
        <v>171</v>
      </c>
      <c r="G158" t="s">
        <v>161</v>
      </c>
      <c r="H158" s="11" t="s">
        <v>160</v>
      </c>
      <c r="I158" s="9" t="s">
        <v>12</v>
      </c>
      <c r="J158" s="7">
        <v>23.3</v>
      </c>
      <c r="K158" s="7">
        <v>14</v>
      </c>
      <c r="L158" s="7">
        <v>30.88</v>
      </c>
      <c r="M158" s="7">
        <v>386</v>
      </c>
      <c r="N158" s="7">
        <f>Tabelle1563[[#This Row],[Anzahl Frames]]/Tabelle1563[[#This Row],[Aufnahmezeit '[s']]]</f>
        <v>12.5</v>
      </c>
      <c r="O158" s="7">
        <f>1/Tabelle1563[[#This Row],[Mean fps ]]</f>
        <v>0.08</v>
      </c>
      <c r="P158" s="7">
        <v>40</v>
      </c>
      <c r="S158" s="7">
        <v>0.83199999999999996</v>
      </c>
      <c r="T158" s="7">
        <v>0.68</v>
      </c>
      <c r="U158" s="7">
        <v>1.335</v>
      </c>
      <c r="V158" s="7"/>
      <c r="W158" s="7"/>
      <c r="X158" s="7"/>
      <c r="Y158" s="7"/>
      <c r="Z158" s="7" t="e" cm="1">
        <f t="array" ref="Z158">STABW</f>
        <v>#NAME?</v>
      </c>
      <c r="AA158" s="7"/>
      <c r="AB158" s="7"/>
      <c r="AC158" s="7" t="e">
        <f>Tabelle1563[[#This Row],[Standardabweichung 1]]/Tabelle1563[[#This Row],[Mean Visc. 1 '[mPas']]]</f>
        <v>#NAME?</v>
      </c>
      <c r="AD158" s="7" t="e">
        <f>Tabelle156[[#This Row],[Standardabweichung 2]]/Tabelle156[[#This Row],[Mean Visc. 2 '[mPas']2]]</f>
        <v>#VALUE!</v>
      </c>
      <c r="AE158" s="7" t="e">
        <f>Tabelle156[[#This Row],[Standardabweichung 3]]/Tabelle156[[#This Row],[Mean Visc. 3 '[mPas']3]]</f>
        <v>#VALUE!</v>
      </c>
      <c r="AF158" s="7"/>
      <c r="AG158" s="7" t="e">
        <f>1-Tabelle1563[[#This Row],[Mean Visc. 1 '[mPas']]]/#REF!</f>
        <v>#REF!</v>
      </c>
      <c r="AH158" s="7"/>
      <c r="AI158" s="7"/>
    </row>
    <row r="159" spans="1:35" x14ac:dyDescent="0.3">
      <c r="A159">
        <v>158</v>
      </c>
      <c r="B159" s="4"/>
      <c r="C159" s="5"/>
      <c r="D159" s="7">
        <v>6</v>
      </c>
      <c r="E159" t="s">
        <v>171</v>
      </c>
      <c r="G159" t="s">
        <v>161</v>
      </c>
      <c r="H159" s="11" t="s">
        <v>160</v>
      </c>
      <c r="I159" s="9" t="s">
        <v>12</v>
      </c>
      <c r="J159" s="7">
        <v>23.4</v>
      </c>
      <c r="K159" s="7">
        <v>14</v>
      </c>
      <c r="L159" s="7">
        <v>30.08</v>
      </c>
      <c r="M159" s="7">
        <v>377</v>
      </c>
      <c r="N159" s="7">
        <f>Tabelle1563[[#This Row],[Anzahl Frames]]/Tabelle1563[[#This Row],[Aufnahmezeit '[s']]]</f>
        <v>12.533244680851064</v>
      </c>
      <c r="O159" s="7">
        <f>1/Tabelle1563[[#This Row],[Mean fps ]]</f>
        <v>7.9787798408488056E-2</v>
      </c>
      <c r="P159" s="7">
        <v>40</v>
      </c>
      <c r="S159" s="7">
        <v>0.873</v>
      </c>
      <c r="T159" s="7">
        <v>0.78900000000000003</v>
      </c>
      <c r="U159" s="7">
        <v>1.361</v>
      </c>
      <c r="V159" s="7"/>
      <c r="W159" s="7"/>
      <c r="X159" s="7"/>
      <c r="Y159" s="7"/>
      <c r="Z159" s="7" t="e" cm="1">
        <f t="array" ref="Z159">STABW</f>
        <v>#NAME?</v>
      </c>
      <c r="AA159" s="7"/>
      <c r="AB159" s="7"/>
      <c r="AC159" s="7" t="e">
        <f>Tabelle1563[[#This Row],[Standardabweichung 1]]/Tabelle1563[[#This Row],[Mean Visc. 1 '[mPas']]]</f>
        <v>#NAME?</v>
      </c>
      <c r="AD159" s="7" t="e">
        <f>Tabelle156[[#This Row],[Standardabweichung 2]]/Tabelle156[[#This Row],[Mean Visc. 2 '[mPas']2]]</f>
        <v>#VALUE!</v>
      </c>
      <c r="AE159" s="7" t="e">
        <f>Tabelle156[[#This Row],[Standardabweichung 3]]/Tabelle156[[#This Row],[Mean Visc. 3 '[mPas']3]]</f>
        <v>#VALUE!</v>
      </c>
      <c r="AF159" s="7"/>
      <c r="AG159" s="7" t="e">
        <f>1-Tabelle1563[[#This Row],[Mean Visc. 1 '[mPas']]]/#REF!</f>
        <v>#REF!</v>
      </c>
      <c r="AH159" s="7"/>
      <c r="AI159" s="7"/>
    </row>
    <row r="160" spans="1:35" x14ac:dyDescent="0.3">
      <c r="A160">
        <v>159</v>
      </c>
      <c r="B160" s="4"/>
      <c r="C160" s="5"/>
      <c r="D160" s="7">
        <v>6</v>
      </c>
      <c r="E160" t="s">
        <v>171</v>
      </c>
      <c r="G160" t="s">
        <v>161</v>
      </c>
      <c r="H160" s="11" t="s">
        <v>160</v>
      </c>
      <c r="I160" s="9" t="s">
        <v>12</v>
      </c>
      <c r="J160" s="7">
        <v>23.5</v>
      </c>
      <c r="K160" s="7">
        <v>14</v>
      </c>
      <c r="L160" s="7">
        <v>30.9</v>
      </c>
      <c r="M160" s="7">
        <v>386</v>
      </c>
      <c r="N160" s="7">
        <f>Tabelle1563[[#This Row],[Anzahl Frames]]/Tabelle1563[[#This Row],[Aufnahmezeit '[s']]]</f>
        <v>12.491909385113269</v>
      </c>
      <c r="O160" s="7">
        <f>1/Tabelle1563[[#This Row],[Mean fps ]]</f>
        <v>8.0051813471502586E-2</v>
      </c>
      <c r="P160" s="7">
        <v>40</v>
      </c>
      <c r="S160" s="7">
        <v>0.85899999999999999</v>
      </c>
      <c r="T160" s="7">
        <v>0.72599999999999998</v>
      </c>
      <c r="U160" s="7">
        <v>1.2669999999999999</v>
      </c>
      <c r="V160" s="7"/>
      <c r="W160" s="7"/>
      <c r="X160" s="7"/>
      <c r="Y160" s="7"/>
      <c r="Z160" s="7" t="e" cm="1">
        <f t="array" ref="Z160">STABW</f>
        <v>#NAME?</v>
      </c>
      <c r="AA160" s="7"/>
      <c r="AB160" s="7"/>
      <c r="AC160" s="7" t="e">
        <f>Tabelle1563[[#This Row],[Standardabweichung 1]]/Tabelle1563[[#This Row],[Mean Visc. 1 '[mPas']]]</f>
        <v>#NAME?</v>
      </c>
      <c r="AD160" s="7" t="e">
        <f>Tabelle156[[#This Row],[Standardabweichung 2]]/Tabelle156[[#This Row],[Mean Visc. 2 '[mPas']2]]</f>
        <v>#VALUE!</v>
      </c>
      <c r="AE160" s="7" t="e">
        <f>Tabelle156[[#This Row],[Standardabweichung 3]]/Tabelle156[[#This Row],[Mean Visc. 3 '[mPas']3]]</f>
        <v>#VALUE!</v>
      </c>
      <c r="AF160" s="7"/>
      <c r="AG160" s="7" t="e">
        <f>1-Tabelle1563[[#This Row],[Mean Visc. 1 '[mPas']]]/#REF!</f>
        <v>#REF!</v>
      </c>
      <c r="AH160" s="7"/>
      <c r="AI160" s="7"/>
    </row>
    <row r="161" spans="1:35" s="14" customFormat="1" ht="15" thickBot="1" x14ac:dyDescent="0.35">
      <c r="A161">
        <v>160</v>
      </c>
      <c r="B161" s="15"/>
      <c r="C161" s="16"/>
      <c r="D161" s="7">
        <v>6</v>
      </c>
      <c r="E161" s="14" t="s">
        <v>171</v>
      </c>
      <c r="G161" s="14" t="s">
        <v>161</v>
      </c>
      <c r="H161" s="21" t="s">
        <v>160</v>
      </c>
      <c r="I161" s="19" t="s">
        <v>12</v>
      </c>
      <c r="J161" s="17">
        <v>23.5</v>
      </c>
      <c r="K161" s="17">
        <v>14</v>
      </c>
      <c r="L161" s="17">
        <v>31.12</v>
      </c>
      <c r="M161" s="17">
        <v>389</v>
      </c>
      <c r="N161" s="17">
        <f>Tabelle1563[[#This Row],[Anzahl Frames]]/Tabelle1563[[#This Row],[Aufnahmezeit '[s']]]</f>
        <v>12.5</v>
      </c>
      <c r="O161" s="17">
        <f>1/Tabelle1563[[#This Row],[Mean fps ]]</f>
        <v>0.08</v>
      </c>
      <c r="P161" s="17">
        <v>40</v>
      </c>
      <c r="Q161" s="20"/>
      <c r="R161" s="21"/>
      <c r="S161" s="17">
        <v>0.873</v>
      </c>
      <c r="T161" s="17">
        <v>0.71299999999999997</v>
      </c>
      <c r="U161" s="17">
        <v>1.347</v>
      </c>
      <c r="V161" s="17"/>
      <c r="W161" s="7">
        <f>SUM(S152:S161)/10</f>
        <v>0.88590000000000002</v>
      </c>
      <c r="X161" s="7">
        <f>SUM(T152:T161)/10</f>
        <v>0.73809999999999998</v>
      </c>
      <c r="Y161" s="7">
        <f t="shared" ref="Y161" si="40">SUM(U152:U161)/10</f>
        <v>1.3268</v>
      </c>
      <c r="Z161" s="17">
        <f>_xlfn.STDEV.S(S152:S161)</f>
        <v>4.1208008930303838E-2</v>
      </c>
      <c r="AA161" s="17">
        <f t="shared" ref="AA161" si="41">_xlfn.STDEV.S(T152:T161)</f>
        <v>4.4533258482971037E-2</v>
      </c>
      <c r="AB161" s="17">
        <f>_xlfn.STDEV.S(U152:U161)</f>
        <v>3.1321983760079247E-2</v>
      </c>
      <c r="AC161" s="17">
        <f>Tabelle1563[[#This Row],[Standardabweichung 1]]/Tabelle1563[[#This Row],[Mean Visc. 1 '[mPas']]]</f>
        <v>4.6515418140087861E-2</v>
      </c>
      <c r="AD161" s="17">
        <f>Tabelle1563[[#This Row],[Standardabweichung 2]]/Tabelle1563[[#This Row],[Mean Visc. 2 '[mPas']2]]</f>
        <v>6.0334993202778811E-2</v>
      </c>
      <c r="AE161" s="17">
        <f>Tabelle1563[[#This Row],[Standardabweichung 3]]/Tabelle1563[[#This Row],[Mean Visc. 3 '[mPas']3]]</f>
        <v>2.3607162918359396E-2</v>
      </c>
      <c r="AF161" s="17"/>
      <c r="AG161" s="17" t="e">
        <f>1-Tabelle1563[[#This Row],[Mean Visc. 1 '[mPas']]]/#REF!</f>
        <v>#REF!</v>
      </c>
      <c r="AH161" s="17"/>
      <c r="AI161" s="17"/>
    </row>
    <row r="162" spans="1:35" ht="15" thickTop="1" x14ac:dyDescent="0.3">
      <c r="A162">
        <v>161</v>
      </c>
      <c r="B162" s="4"/>
      <c r="C162" s="5"/>
      <c r="D162" s="7">
        <v>6</v>
      </c>
      <c r="E162" t="s">
        <v>171</v>
      </c>
      <c r="G162" t="s">
        <v>161</v>
      </c>
      <c r="H162" s="11" t="s">
        <v>163</v>
      </c>
      <c r="I162" s="9" t="s">
        <v>12</v>
      </c>
      <c r="J162" s="7">
        <v>23.2</v>
      </c>
      <c r="K162" s="7">
        <v>14</v>
      </c>
      <c r="L162" s="7">
        <v>30.33</v>
      </c>
      <c r="M162" s="7">
        <v>383</v>
      </c>
      <c r="N162" s="7">
        <f>Tabelle1563[[#This Row],[Anzahl Frames]]/Tabelle1563[[#This Row],[Aufnahmezeit '[s']]]</f>
        <v>12.627761292449721</v>
      </c>
      <c r="O162" s="7">
        <f>1/Tabelle1563[[#This Row],[Mean fps ]]</f>
        <v>7.9190600522193205E-2</v>
      </c>
      <c r="P162" s="7">
        <v>40</v>
      </c>
      <c r="S162" s="7">
        <v>0.83799999999999997</v>
      </c>
      <c r="T162" s="7">
        <v>0.73199999999999998</v>
      </c>
      <c r="U162" s="7">
        <v>1.252</v>
      </c>
      <c r="V162" s="7"/>
      <c r="W162" s="7"/>
      <c r="X162" s="7"/>
      <c r="Y162" s="7"/>
      <c r="Z162" s="7" t="e" cm="1">
        <f t="array" ref="Z162">STABW</f>
        <v>#NAME?</v>
      </c>
      <c r="AA162" s="7"/>
      <c r="AB162" s="7"/>
      <c r="AC162" s="7" t="e">
        <f>Tabelle1563[[#This Row],[Standardabweichung 1]]/Tabelle1563[[#This Row],[Mean Visc. 1 '[mPas']]]</f>
        <v>#NAME?</v>
      </c>
      <c r="AD162" s="7" t="e">
        <f>Tabelle156[[#This Row],[Standardabweichung 2]]/Tabelle156[[#This Row],[Mean Visc. 2 '[mPas']2]]</f>
        <v>#VALUE!</v>
      </c>
      <c r="AE162" s="7" t="e">
        <f>Tabelle156[[#This Row],[Standardabweichung 3]]/Tabelle156[[#This Row],[Mean Visc. 3 '[mPas']3]]</f>
        <v>#VALUE!</v>
      </c>
      <c r="AF162" s="7"/>
      <c r="AG162" s="7" t="e">
        <f>1-Tabelle1563[[#This Row],[Mean Visc. 1 '[mPas']]]/#REF!</f>
        <v>#REF!</v>
      </c>
      <c r="AH162" s="7"/>
      <c r="AI162" s="7"/>
    </row>
    <row r="163" spans="1:35" x14ac:dyDescent="0.3">
      <c r="A163">
        <v>162</v>
      </c>
      <c r="B163" s="4"/>
      <c r="C163" s="5"/>
      <c r="D163" s="7">
        <v>6</v>
      </c>
      <c r="E163" t="s">
        <v>171</v>
      </c>
      <c r="G163" t="s">
        <v>161</v>
      </c>
      <c r="H163" s="11" t="s">
        <v>163</v>
      </c>
      <c r="I163" s="9" t="s">
        <v>12</v>
      </c>
      <c r="J163" s="7">
        <v>23.2</v>
      </c>
      <c r="K163" s="7">
        <v>14</v>
      </c>
      <c r="L163" s="7">
        <v>31.62</v>
      </c>
      <c r="M163" s="7">
        <v>395</v>
      </c>
      <c r="N163" s="7">
        <f>Tabelle1563[[#This Row],[Anzahl Frames]]/Tabelle1563[[#This Row],[Aufnahmezeit '[s']]]</f>
        <v>12.492093611638204</v>
      </c>
      <c r="O163" s="7">
        <f>1/Tabelle1563[[#This Row],[Mean fps ]]</f>
        <v>8.0050632911392403E-2</v>
      </c>
      <c r="P163" s="7">
        <v>40</v>
      </c>
      <c r="S163" s="7">
        <v>0.91300000000000003</v>
      </c>
      <c r="T163" s="7">
        <v>0.83799999999999997</v>
      </c>
      <c r="U163" s="7">
        <v>1.2749999999999999</v>
      </c>
      <c r="V163" s="7"/>
      <c r="W163" s="7"/>
      <c r="X163" s="7"/>
      <c r="Y163" s="7"/>
      <c r="Z163" s="7" t="e" cm="1">
        <f t="array" ref="Z163">STABW</f>
        <v>#NAME?</v>
      </c>
      <c r="AA163" s="7"/>
      <c r="AB163" s="7"/>
      <c r="AC163" s="7" t="e">
        <f>Tabelle1563[[#This Row],[Standardabweichung 1]]/Tabelle1563[[#This Row],[Mean Visc. 1 '[mPas']]]</f>
        <v>#NAME?</v>
      </c>
      <c r="AD163" s="7" t="e">
        <f>Tabelle156[[#This Row],[Standardabweichung 2]]/Tabelle156[[#This Row],[Mean Visc. 2 '[mPas']2]]</f>
        <v>#VALUE!</v>
      </c>
      <c r="AE163" s="7" t="e">
        <f>Tabelle156[[#This Row],[Standardabweichung 3]]/Tabelle156[[#This Row],[Mean Visc. 3 '[mPas']3]]</f>
        <v>#VALUE!</v>
      </c>
      <c r="AF163" s="7"/>
      <c r="AG163" s="7" t="e">
        <f>1-Tabelle1563[[#This Row],[Mean Visc. 1 '[mPas']]]/#REF!</f>
        <v>#REF!</v>
      </c>
      <c r="AH163" s="7"/>
      <c r="AI163" s="7"/>
    </row>
    <row r="164" spans="1:35" x14ac:dyDescent="0.3">
      <c r="A164">
        <v>163</v>
      </c>
      <c r="B164" s="4"/>
      <c r="C164" s="5"/>
      <c r="D164" s="7">
        <v>6</v>
      </c>
      <c r="E164" t="s">
        <v>171</v>
      </c>
      <c r="G164" t="s">
        <v>161</v>
      </c>
      <c r="H164" s="11" t="s">
        <v>163</v>
      </c>
      <c r="I164" s="9" t="s">
        <v>12</v>
      </c>
      <c r="J164" s="7">
        <v>23.1</v>
      </c>
      <c r="K164" s="7">
        <v>14</v>
      </c>
      <c r="L164" s="7">
        <v>30.72</v>
      </c>
      <c r="M164" s="7">
        <v>384</v>
      </c>
      <c r="N164" s="7">
        <f>Tabelle1563[[#This Row],[Anzahl Frames]]/Tabelle1563[[#This Row],[Aufnahmezeit '[s']]]</f>
        <v>12.5</v>
      </c>
      <c r="O164" s="7">
        <f>1/Tabelle1563[[#This Row],[Mean fps ]]</f>
        <v>0.08</v>
      </c>
      <c r="P164" s="7">
        <v>40</v>
      </c>
      <c r="S164" s="7">
        <v>0.91200000000000003</v>
      </c>
      <c r="T164" s="7">
        <v>0.76600000000000001</v>
      </c>
      <c r="U164" s="7">
        <v>1.2709999999999999</v>
      </c>
      <c r="V164" s="7"/>
      <c r="W164" s="7"/>
      <c r="X164" s="7"/>
      <c r="Y164" s="7"/>
      <c r="Z164" s="7" t="e" cm="1">
        <f t="array" ref="Z164">STABW</f>
        <v>#NAME?</v>
      </c>
      <c r="AA164" s="7"/>
      <c r="AB164" s="7"/>
      <c r="AC164" s="7" t="e">
        <f>Tabelle1563[[#This Row],[Standardabweichung 1]]/Tabelle1563[[#This Row],[Mean Visc. 1 '[mPas']]]</f>
        <v>#NAME?</v>
      </c>
      <c r="AD164" s="7" t="e">
        <f>Tabelle156[[#This Row],[Standardabweichung 2]]/Tabelle156[[#This Row],[Mean Visc. 2 '[mPas']2]]</f>
        <v>#VALUE!</v>
      </c>
      <c r="AE164" s="7" t="e">
        <f>Tabelle156[[#This Row],[Standardabweichung 3]]/Tabelle156[[#This Row],[Mean Visc. 3 '[mPas']3]]</f>
        <v>#VALUE!</v>
      </c>
      <c r="AF164" s="7"/>
      <c r="AG164" s="7" t="e">
        <f>1-Tabelle1563[[#This Row],[Mean Visc. 1 '[mPas']]]/#REF!</f>
        <v>#REF!</v>
      </c>
      <c r="AH164" s="7"/>
      <c r="AI164" s="7"/>
    </row>
    <row r="165" spans="1:35" x14ac:dyDescent="0.3">
      <c r="A165">
        <v>164</v>
      </c>
      <c r="B165" s="4"/>
      <c r="C165" s="5"/>
      <c r="D165" s="7">
        <v>6</v>
      </c>
      <c r="E165" t="s">
        <v>171</v>
      </c>
      <c r="G165" t="s">
        <v>161</v>
      </c>
      <c r="H165" s="11" t="s">
        <v>163</v>
      </c>
      <c r="I165" s="9" t="s">
        <v>12</v>
      </c>
      <c r="J165" s="7">
        <v>23.1</v>
      </c>
      <c r="K165" s="7">
        <v>14</v>
      </c>
      <c r="L165" s="7">
        <v>30</v>
      </c>
      <c r="M165" s="7">
        <v>375</v>
      </c>
      <c r="N165" s="7">
        <f>Tabelle1563[[#This Row],[Anzahl Frames]]/Tabelle1563[[#This Row],[Aufnahmezeit '[s']]]</f>
        <v>12.5</v>
      </c>
      <c r="O165" s="7">
        <f>1/Tabelle1563[[#This Row],[Mean fps ]]</f>
        <v>0.08</v>
      </c>
      <c r="P165" s="7">
        <v>40</v>
      </c>
      <c r="S165" s="7">
        <v>0.875</v>
      </c>
      <c r="T165" s="7">
        <v>0.73499999999999999</v>
      </c>
      <c r="U165" s="7">
        <v>1.2829999999999999</v>
      </c>
      <c r="V165" s="7"/>
      <c r="W165" s="7"/>
      <c r="X165" s="7"/>
      <c r="Y165" s="7"/>
      <c r="Z165" s="7" t="e" cm="1">
        <f t="array" ref="Z165">STABW</f>
        <v>#NAME?</v>
      </c>
      <c r="AA165" s="7"/>
      <c r="AB165" s="7"/>
      <c r="AC165" s="7" t="e">
        <f>Tabelle1563[[#This Row],[Standardabweichung 1]]/Tabelle1563[[#This Row],[Mean Visc. 1 '[mPas']]]</f>
        <v>#NAME?</v>
      </c>
      <c r="AD165" s="7" t="e">
        <f>Tabelle156[[#This Row],[Standardabweichung 2]]/Tabelle156[[#This Row],[Mean Visc. 2 '[mPas']2]]</f>
        <v>#VALUE!</v>
      </c>
      <c r="AE165" s="7" t="e">
        <f>Tabelle156[[#This Row],[Standardabweichung 3]]/Tabelle156[[#This Row],[Mean Visc. 3 '[mPas']3]]</f>
        <v>#VALUE!</v>
      </c>
      <c r="AF165" s="7"/>
      <c r="AG165" s="7" t="e">
        <f>1-Tabelle1563[[#This Row],[Mean Visc. 1 '[mPas']]]/#REF!</f>
        <v>#REF!</v>
      </c>
      <c r="AH165" s="7"/>
      <c r="AI165" s="7"/>
    </row>
    <row r="166" spans="1:35" s="14" customFormat="1" ht="15" thickBot="1" x14ac:dyDescent="0.35">
      <c r="A166">
        <v>165</v>
      </c>
      <c r="B166" s="15"/>
      <c r="C166" s="16"/>
      <c r="D166" s="7">
        <v>6</v>
      </c>
      <c r="E166" s="14" t="s">
        <v>171</v>
      </c>
      <c r="G166" s="14" t="s">
        <v>161</v>
      </c>
      <c r="H166" s="21" t="s">
        <v>163</v>
      </c>
      <c r="I166" s="19" t="s">
        <v>12</v>
      </c>
      <c r="J166" s="17">
        <v>23.1</v>
      </c>
      <c r="K166" s="17">
        <v>14</v>
      </c>
      <c r="L166" s="17">
        <v>31.04</v>
      </c>
      <c r="M166" s="17">
        <v>389</v>
      </c>
      <c r="N166" s="17">
        <f>Tabelle1563[[#This Row],[Anzahl Frames]]/Tabelle1563[[#This Row],[Aufnahmezeit '[s']]]</f>
        <v>12.532216494845361</v>
      </c>
      <c r="O166" s="17">
        <f>1/Tabelle1563[[#This Row],[Mean fps ]]</f>
        <v>7.9794344473007706E-2</v>
      </c>
      <c r="P166" s="17">
        <v>40</v>
      </c>
      <c r="Q166" s="20"/>
      <c r="R166" s="21"/>
      <c r="S166" s="17">
        <v>0.84499999999999997</v>
      </c>
      <c r="T166" s="17">
        <v>0.69399999999999995</v>
      </c>
      <c r="U166" s="17">
        <v>1.244</v>
      </c>
      <c r="V166" s="17"/>
      <c r="W166" s="17"/>
      <c r="X166" s="17"/>
      <c r="Y166" s="17"/>
      <c r="Z166" s="17" t="e" cm="1">
        <f t="array" ref="Z166">STABW</f>
        <v>#NAME?</v>
      </c>
      <c r="AA166" s="17"/>
      <c r="AB166" s="17"/>
      <c r="AC166" s="17" t="e">
        <f>Tabelle1563[[#This Row],[Standardabweichung 1]]/Tabelle1563[[#This Row],[Mean Visc. 1 '[mPas']]]</f>
        <v>#NAME?</v>
      </c>
      <c r="AD166" s="17" t="e">
        <f>Tabelle156[[#This Row],[Standardabweichung 2]]/Tabelle156[[#This Row],[Mean Visc. 2 '[mPas']2]]</f>
        <v>#VALUE!</v>
      </c>
      <c r="AE166" s="17" t="e">
        <f>Tabelle156[[#This Row],[Standardabweichung 3]]/Tabelle156[[#This Row],[Mean Visc. 3 '[mPas']3]]</f>
        <v>#VALUE!</v>
      </c>
      <c r="AF166" s="17"/>
      <c r="AG166" s="17" t="e">
        <f>1-Tabelle1563[[#This Row],[Mean Visc. 1 '[mPas']]]/#REF!</f>
        <v>#REF!</v>
      </c>
      <c r="AH166" s="17"/>
      <c r="AI166" s="17"/>
    </row>
    <row r="167" spans="1:35" ht="15" thickTop="1" x14ac:dyDescent="0.3">
      <c r="A167">
        <v>166</v>
      </c>
      <c r="B167" s="4"/>
      <c r="C167" s="5"/>
      <c r="D167" s="7">
        <v>6</v>
      </c>
      <c r="E167" t="s">
        <v>171</v>
      </c>
      <c r="G167" t="s">
        <v>161</v>
      </c>
      <c r="H167" s="11" t="s">
        <v>163</v>
      </c>
      <c r="I167" s="9" t="s">
        <v>12</v>
      </c>
      <c r="J167" s="7">
        <v>23.2</v>
      </c>
      <c r="K167" s="7">
        <v>14</v>
      </c>
      <c r="L167" s="7">
        <v>30.48</v>
      </c>
      <c r="M167" s="7">
        <v>382</v>
      </c>
      <c r="N167" s="7">
        <f>Tabelle1563[[#This Row],[Anzahl Frames]]/Tabelle1563[[#This Row],[Aufnahmezeit '[s']]]</f>
        <v>12.532808398950131</v>
      </c>
      <c r="O167" s="7">
        <f>1/Tabelle1563[[#This Row],[Mean fps ]]</f>
        <v>7.9790575916230372E-2</v>
      </c>
      <c r="P167" s="7">
        <v>40</v>
      </c>
      <c r="S167" s="7">
        <v>0.85499999999999998</v>
      </c>
      <c r="T167" s="7">
        <v>0.67200000000000004</v>
      </c>
      <c r="U167" s="7">
        <v>1.1930000000000001</v>
      </c>
      <c r="V167" s="7"/>
      <c r="W167" s="7"/>
      <c r="X167" s="7"/>
      <c r="Y167" s="7"/>
      <c r="Z167" s="7" t="e" cm="1">
        <f t="array" ref="Z167">STABW</f>
        <v>#NAME?</v>
      </c>
      <c r="AA167" s="7"/>
      <c r="AB167" s="7"/>
      <c r="AC167" s="7" t="e">
        <f>Tabelle1563[[#This Row],[Standardabweichung 1]]/Tabelle1563[[#This Row],[Mean Visc. 1 '[mPas']]]</f>
        <v>#NAME?</v>
      </c>
      <c r="AD167" s="7" t="e">
        <f>Tabelle156[[#This Row],[Standardabweichung 2]]/Tabelle156[[#This Row],[Mean Visc. 2 '[mPas']2]]</f>
        <v>#VALUE!</v>
      </c>
      <c r="AE167" s="7" t="e">
        <f>Tabelle156[[#This Row],[Standardabweichung 3]]/Tabelle156[[#This Row],[Mean Visc. 3 '[mPas']3]]</f>
        <v>#VALUE!</v>
      </c>
      <c r="AF167" s="7"/>
      <c r="AG167" s="7" t="e">
        <f>1-Tabelle1563[[#This Row],[Mean Visc. 1 '[mPas']]]/#REF!</f>
        <v>#REF!</v>
      </c>
      <c r="AH167" s="7"/>
      <c r="AI167" s="7"/>
    </row>
    <row r="168" spans="1:35" x14ac:dyDescent="0.3">
      <c r="A168">
        <v>167</v>
      </c>
      <c r="B168" s="4"/>
      <c r="C168" s="5"/>
      <c r="D168" s="7">
        <v>6</v>
      </c>
      <c r="E168" t="s">
        <v>171</v>
      </c>
      <c r="G168" t="s">
        <v>161</v>
      </c>
      <c r="H168" s="11" t="s">
        <v>163</v>
      </c>
      <c r="I168" s="9" t="s">
        <v>12</v>
      </c>
      <c r="J168" s="7">
        <v>23.2</v>
      </c>
      <c r="K168" s="7">
        <v>14</v>
      </c>
      <c r="L168" s="7">
        <v>28.55</v>
      </c>
      <c r="M168" s="7">
        <v>357</v>
      </c>
      <c r="N168" s="7">
        <f>Tabelle1563[[#This Row],[Anzahl Frames]]/Tabelle1563[[#This Row],[Aufnahmezeit '[s']]]</f>
        <v>12.504378283712784</v>
      </c>
      <c r="O168" s="7">
        <f>1/Tabelle1563[[#This Row],[Mean fps ]]</f>
        <v>7.9971988795518215E-2</v>
      </c>
      <c r="P168" s="7">
        <v>40</v>
      </c>
      <c r="S168" s="7">
        <v>0.871</v>
      </c>
      <c r="T168" s="7">
        <v>0.66300000000000003</v>
      </c>
      <c r="U168" s="7">
        <v>1.264</v>
      </c>
      <c r="V168" s="7"/>
      <c r="W168" s="7"/>
      <c r="X168" s="7"/>
      <c r="Y168" s="7"/>
      <c r="Z168" s="7" t="e" cm="1">
        <f t="array" ref="Z168">STABW</f>
        <v>#NAME?</v>
      </c>
      <c r="AA168" s="7"/>
      <c r="AB168" s="7"/>
      <c r="AC168" s="7" t="e">
        <f>Tabelle1563[[#This Row],[Standardabweichung 1]]/Tabelle1563[[#This Row],[Mean Visc. 1 '[mPas']]]</f>
        <v>#NAME?</v>
      </c>
      <c r="AD168" s="7" t="e">
        <f>Tabelle156[[#This Row],[Standardabweichung 2]]/Tabelle156[[#This Row],[Mean Visc. 2 '[mPas']2]]</f>
        <v>#VALUE!</v>
      </c>
      <c r="AE168" s="7" t="e">
        <f>Tabelle156[[#This Row],[Standardabweichung 3]]/Tabelle156[[#This Row],[Mean Visc. 3 '[mPas']3]]</f>
        <v>#VALUE!</v>
      </c>
      <c r="AF168" s="7"/>
      <c r="AG168" s="7" t="e">
        <f>1-Tabelle1563[[#This Row],[Mean Visc. 1 '[mPas']]]/#REF!</f>
        <v>#REF!</v>
      </c>
      <c r="AH168" s="7"/>
      <c r="AI168" s="7"/>
    </row>
    <row r="169" spans="1:35" x14ac:dyDescent="0.3">
      <c r="A169">
        <v>168</v>
      </c>
      <c r="B169" s="4"/>
      <c r="C169" s="5"/>
      <c r="D169" s="7">
        <v>6</v>
      </c>
      <c r="E169" t="s">
        <v>171</v>
      </c>
      <c r="G169" t="s">
        <v>161</v>
      </c>
      <c r="H169" s="11" t="s">
        <v>163</v>
      </c>
      <c r="I169" s="9" t="s">
        <v>12</v>
      </c>
      <c r="J169" s="7">
        <v>23.2</v>
      </c>
      <c r="K169" s="7">
        <v>14</v>
      </c>
      <c r="L169" s="7">
        <v>29.76</v>
      </c>
      <c r="M169" s="7">
        <v>372</v>
      </c>
      <c r="N169" s="7">
        <f>Tabelle1563[[#This Row],[Anzahl Frames]]/Tabelle1563[[#This Row],[Aufnahmezeit '[s']]]</f>
        <v>12.5</v>
      </c>
      <c r="O169" s="7">
        <f>1/Tabelle1563[[#This Row],[Mean fps ]]</f>
        <v>0.08</v>
      </c>
      <c r="P169" s="7">
        <v>40</v>
      </c>
      <c r="S169" s="7">
        <v>0.81499999999999995</v>
      </c>
      <c r="T169" s="7">
        <v>0.67700000000000005</v>
      </c>
      <c r="U169" s="7">
        <v>1.268</v>
      </c>
      <c r="V169" s="7"/>
      <c r="W169" s="7"/>
      <c r="X169" s="7"/>
      <c r="Y169" s="7"/>
      <c r="Z169" s="7" t="e" cm="1">
        <f t="array" ref="Z169">STABW</f>
        <v>#NAME?</v>
      </c>
      <c r="AA169" s="7"/>
      <c r="AB169" s="7"/>
      <c r="AC169" s="7" t="e">
        <f>Tabelle1563[[#This Row],[Standardabweichung 1]]/Tabelle1563[[#This Row],[Mean Visc. 1 '[mPas']]]</f>
        <v>#NAME?</v>
      </c>
      <c r="AD169" s="7" t="e">
        <f>Tabelle156[[#This Row],[Standardabweichung 2]]/Tabelle156[[#This Row],[Mean Visc. 2 '[mPas']2]]</f>
        <v>#VALUE!</v>
      </c>
      <c r="AE169" s="7" t="e">
        <f>Tabelle156[[#This Row],[Standardabweichung 3]]/Tabelle156[[#This Row],[Mean Visc. 3 '[mPas']3]]</f>
        <v>#VALUE!</v>
      </c>
      <c r="AF169" s="7"/>
      <c r="AG169" s="7" t="e">
        <f>1-Tabelle1563[[#This Row],[Mean Visc. 1 '[mPas']]]/#REF!</f>
        <v>#REF!</v>
      </c>
      <c r="AH169" s="7"/>
      <c r="AI169" s="7"/>
    </row>
    <row r="170" spans="1:35" x14ac:dyDescent="0.3">
      <c r="A170">
        <v>169</v>
      </c>
      <c r="B170" s="4"/>
      <c r="C170" s="5"/>
      <c r="D170" s="7">
        <v>6</v>
      </c>
      <c r="E170" t="s">
        <v>171</v>
      </c>
      <c r="G170" t="s">
        <v>161</v>
      </c>
      <c r="H170" s="11" t="s">
        <v>163</v>
      </c>
      <c r="I170" s="9" t="s">
        <v>12</v>
      </c>
      <c r="J170" s="7">
        <v>23.3</v>
      </c>
      <c r="K170" s="7">
        <v>14</v>
      </c>
      <c r="L170" s="7">
        <v>30.72</v>
      </c>
      <c r="M170" s="7">
        <v>385</v>
      </c>
      <c r="N170" s="7">
        <f>Tabelle1563[[#This Row],[Anzahl Frames]]/Tabelle1563[[#This Row],[Aufnahmezeit '[s']]]</f>
        <v>12.532552083333334</v>
      </c>
      <c r="O170" s="7">
        <f>1/Tabelle1563[[#This Row],[Mean fps ]]</f>
        <v>7.9792207792207789E-2</v>
      </c>
      <c r="P170" s="7">
        <v>40</v>
      </c>
      <c r="S170" s="7">
        <v>0.86299999999999999</v>
      </c>
      <c r="T170" s="7">
        <v>0.68300000000000005</v>
      </c>
      <c r="U170" s="7">
        <v>1.258</v>
      </c>
      <c r="V170" s="7"/>
      <c r="W170" s="7"/>
      <c r="X170" s="7"/>
      <c r="Y170" s="7"/>
      <c r="Z170" s="7" t="e" cm="1">
        <f t="array" ref="Z170">STABW</f>
        <v>#NAME?</v>
      </c>
      <c r="AA170" s="7"/>
      <c r="AB170" s="7"/>
      <c r="AC170" s="7" t="e">
        <f>Tabelle1563[[#This Row],[Standardabweichung 1]]/Tabelle1563[[#This Row],[Mean Visc. 1 '[mPas']]]</f>
        <v>#NAME?</v>
      </c>
      <c r="AD170" s="7" t="e">
        <f>Tabelle156[[#This Row],[Standardabweichung 2]]/Tabelle156[[#This Row],[Mean Visc. 2 '[mPas']2]]</f>
        <v>#VALUE!</v>
      </c>
      <c r="AE170" s="7" t="e">
        <f>Tabelle156[[#This Row],[Standardabweichung 3]]/Tabelle156[[#This Row],[Mean Visc. 3 '[mPas']3]]</f>
        <v>#VALUE!</v>
      </c>
      <c r="AF170" s="7"/>
      <c r="AG170" s="7" t="e">
        <f>1-Tabelle1563[[#This Row],[Mean Visc. 1 '[mPas']]]/#REF!</f>
        <v>#REF!</v>
      </c>
      <c r="AH170" s="7"/>
      <c r="AI170" s="7"/>
    </row>
    <row r="171" spans="1:35" s="14" customFormat="1" ht="15" thickBot="1" x14ac:dyDescent="0.35">
      <c r="A171">
        <v>170</v>
      </c>
      <c r="B171" s="15"/>
      <c r="C171" s="16"/>
      <c r="D171" s="7">
        <v>6</v>
      </c>
      <c r="E171" s="14" t="s">
        <v>171</v>
      </c>
      <c r="G171" s="14" t="s">
        <v>161</v>
      </c>
      <c r="H171" s="21" t="s">
        <v>163</v>
      </c>
      <c r="I171" s="19" t="s">
        <v>12</v>
      </c>
      <c r="J171" s="17">
        <v>23.3</v>
      </c>
      <c r="K171" s="17">
        <v>14</v>
      </c>
      <c r="L171" s="17">
        <v>31.28</v>
      </c>
      <c r="M171" s="17">
        <v>391</v>
      </c>
      <c r="N171" s="17">
        <f>Tabelle1563[[#This Row],[Anzahl Frames]]/Tabelle1563[[#This Row],[Aufnahmezeit '[s']]]</f>
        <v>12.5</v>
      </c>
      <c r="O171" s="17">
        <f>1/Tabelle1563[[#This Row],[Mean fps ]]</f>
        <v>0.08</v>
      </c>
      <c r="P171" s="17">
        <v>40</v>
      </c>
      <c r="Q171" s="20"/>
      <c r="R171" s="21"/>
      <c r="S171" s="17">
        <v>0.875</v>
      </c>
      <c r="T171" s="17">
        <v>0.75800000000000001</v>
      </c>
      <c r="U171" s="17">
        <v>1.335</v>
      </c>
      <c r="V171" s="17"/>
      <c r="W171" s="7">
        <f>SUM(S162:S171)/10</f>
        <v>0.86619999999999986</v>
      </c>
      <c r="X171" s="7">
        <f>SUM(T162:T171)/10</f>
        <v>0.72179999999999989</v>
      </c>
      <c r="Y171" s="7">
        <f t="shared" ref="Y171" si="42">SUM(U162:U171)/10</f>
        <v>1.2643</v>
      </c>
      <c r="Z171" s="17">
        <f>_xlfn.STDEV.S(S162:S171)</f>
        <v>3.0673187712470417E-2</v>
      </c>
      <c r="AA171" s="17">
        <f t="shared" ref="AA171" si="43">_xlfn.STDEV.S(T162:T171)</f>
        <v>5.5043013483396158E-2</v>
      </c>
      <c r="AB171" s="17">
        <f>_xlfn.STDEV.S(U162:U171)</f>
        <v>3.5289438142940763E-2</v>
      </c>
      <c r="AC171" s="17">
        <f>Tabelle1563[[#This Row],[Standardabweichung 1]]/Tabelle1563[[#This Row],[Mean Visc. 1 '[mPas']]]</f>
        <v>3.5411207241365067E-2</v>
      </c>
      <c r="AD171" s="17">
        <f>Tabelle1563[[#This Row],[Standardabweichung 2]]/Tabelle1563[[#This Row],[Mean Visc. 2 '[mPas']2]]</f>
        <v>7.6257984875860579E-2</v>
      </c>
      <c r="AE171" s="17">
        <f>Tabelle1563[[#This Row],[Standardabweichung 3]]/Tabelle1563[[#This Row],[Mean Visc. 3 '[mPas']3]]</f>
        <v>2.7912234551088162E-2</v>
      </c>
      <c r="AF171" s="17"/>
      <c r="AG171" s="17" t="e">
        <f>1-Tabelle1563[[#This Row],[Mean Visc. 1 '[mPas']]]/#REF!</f>
        <v>#REF!</v>
      </c>
      <c r="AH171" s="17"/>
      <c r="AI171" s="17"/>
    </row>
    <row r="172" spans="1:35" ht="15" thickTop="1" x14ac:dyDescent="0.3">
      <c r="A172">
        <v>171</v>
      </c>
      <c r="B172" s="4"/>
      <c r="C172" s="5"/>
      <c r="D172" s="7">
        <v>6</v>
      </c>
      <c r="E172" t="s">
        <v>171</v>
      </c>
      <c r="G172" t="s">
        <v>161</v>
      </c>
      <c r="H172" s="11" t="s">
        <v>164</v>
      </c>
      <c r="I172" s="9" t="s">
        <v>12</v>
      </c>
      <c r="J172" s="7">
        <v>23.3</v>
      </c>
      <c r="K172" s="7">
        <v>22</v>
      </c>
      <c r="L172" s="7">
        <v>30</v>
      </c>
      <c r="M172" s="7">
        <v>376</v>
      </c>
      <c r="N172" s="7">
        <f>Tabelle1563[[#This Row],[Anzahl Frames]]/Tabelle1563[[#This Row],[Aufnahmezeit '[s']]]</f>
        <v>12.533333333333333</v>
      </c>
      <c r="O172" s="7">
        <f>1/Tabelle1563[[#This Row],[Mean fps ]]</f>
        <v>7.9787234042553196E-2</v>
      </c>
      <c r="P172" s="7">
        <v>40</v>
      </c>
      <c r="S172" s="7">
        <v>0.93100000000000005</v>
      </c>
      <c r="T172" s="7">
        <v>0.73</v>
      </c>
      <c r="U172" s="7">
        <v>1.379</v>
      </c>
      <c r="V172" s="7"/>
      <c r="W172" s="7"/>
      <c r="X172" s="7"/>
      <c r="Y172" s="7"/>
      <c r="Z172" s="7" t="e" cm="1">
        <f t="array" ref="Z172">STABW</f>
        <v>#NAME?</v>
      </c>
      <c r="AA172" s="7"/>
      <c r="AB172" s="7"/>
      <c r="AC172" s="7" t="e">
        <f>Tabelle1563[[#This Row],[Standardabweichung 1]]/Tabelle1563[[#This Row],[Mean Visc. 1 '[mPas']]]</f>
        <v>#NAME?</v>
      </c>
      <c r="AD172" s="7" t="e">
        <f>Tabelle156[[#This Row],[Standardabweichung 2]]/Tabelle156[[#This Row],[Mean Visc. 2 '[mPas']2]]</f>
        <v>#VALUE!</v>
      </c>
      <c r="AE172" s="7" t="e">
        <f>Tabelle156[[#This Row],[Standardabweichung 3]]/Tabelle156[[#This Row],[Mean Visc. 3 '[mPas']3]]</f>
        <v>#VALUE!</v>
      </c>
      <c r="AF172" s="7"/>
      <c r="AG172" s="7" t="e">
        <f>1-Tabelle1563[[#This Row],[Mean Visc. 1 '[mPas']]]/#REF!</f>
        <v>#REF!</v>
      </c>
      <c r="AH172" s="7"/>
      <c r="AI172" s="7"/>
    </row>
    <row r="173" spans="1:35" x14ac:dyDescent="0.3">
      <c r="A173">
        <v>172</v>
      </c>
      <c r="B173" s="4"/>
      <c r="C173" s="5"/>
      <c r="D173" s="7">
        <v>6</v>
      </c>
      <c r="E173" t="s">
        <v>171</v>
      </c>
      <c r="G173" t="s">
        <v>161</v>
      </c>
      <c r="H173" s="11" t="s">
        <v>164</v>
      </c>
      <c r="I173" s="9" t="s">
        <v>12</v>
      </c>
      <c r="J173" s="7">
        <v>23.4</v>
      </c>
      <c r="K173" s="7">
        <v>22</v>
      </c>
      <c r="L173" s="7">
        <v>30.74</v>
      </c>
      <c r="M173" s="7">
        <v>384</v>
      </c>
      <c r="N173" s="7">
        <f>Tabelle1563[[#This Row],[Anzahl Frames]]/Tabelle1563[[#This Row],[Aufnahmezeit '[s']]]</f>
        <v>12.491867273910215</v>
      </c>
      <c r="O173" s="7">
        <f>1/Tabelle1563[[#This Row],[Mean fps ]]</f>
        <v>8.0052083333333329E-2</v>
      </c>
      <c r="P173" s="7">
        <v>40</v>
      </c>
      <c r="S173" s="7">
        <v>0.79200000000000004</v>
      </c>
      <c r="T173" s="7">
        <v>0.69699999999999995</v>
      </c>
      <c r="U173" s="7">
        <v>1.27</v>
      </c>
      <c r="V173" s="7"/>
      <c r="W173" s="7"/>
      <c r="X173" s="7"/>
      <c r="Y173" s="7"/>
      <c r="Z173" s="7" t="e" cm="1">
        <f t="array" ref="Z173">STABW</f>
        <v>#NAME?</v>
      </c>
      <c r="AA173" s="7"/>
      <c r="AB173" s="7"/>
      <c r="AC173" s="7" t="e">
        <f>Tabelle1563[[#This Row],[Standardabweichung 1]]/Tabelle1563[[#This Row],[Mean Visc. 1 '[mPas']]]</f>
        <v>#NAME?</v>
      </c>
      <c r="AD173" s="7" t="e">
        <f>Tabelle156[[#This Row],[Standardabweichung 2]]/Tabelle156[[#This Row],[Mean Visc. 2 '[mPas']2]]</f>
        <v>#VALUE!</v>
      </c>
      <c r="AE173" s="7" t="e">
        <f>Tabelle156[[#This Row],[Standardabweichung 3]]/Tabelle156[[#This Row],[Mean Visc. 3 '[mPas']3]]</f>
        <v>#VALUE!</v>
      </c>
      <c r="AF173" s="7"/>
      <c r="AG173" s="7" t="e">
        <f>1-Tabelle1563[[#This Row],[Mean Visc. 1 '[mPas']]]/#REF!</f>
        <v>#REF!</v>
      </c>
      <c r="AH173" s="7"/>
      <c r="AI173" s="7"/>
    </row>
    <row r="174" spans="1:35" x14ac:dyDescent="0.3">
      <c r="A174">
        <v>173</v>
      </c>
      <c r="B174" s="4"/>
      <c r="C174" s="5"/>
      <c r="D174" s="7">
        <v>6</v>
      </c>
      <c r="E174" t="s">
        <v>171</v>
      </c>
      <c r="G174" t="s">
        <v>161</v>
      </c>
      <c r="H174" s="11" t="s">
        <v>164</v>
      </c>
      <c r="I174" s="9" t="s">
        <v>12</v>
      </c>
      <c r="J174" s="7">
        <v>23.4</v>
      </c>
      <c r="K174" s="7">
        <v>22</v>
      </c>
      <c r="L174" s="7">
        <v>30.48</v>
      </c>
      <c r="M174" s="7">
        <v>381</v>
      </c>
      <c r="N174" s="7">
        <f>Tabelle1563[[#This Row],[Anzahl Frames]]/Tabelle1563[[#This Row],[Aufnahmezeit '[s']]]</f>
        <v>12.5</v>
      </c>
      <c r="O174" s="7">
        <f>1/Tabelle1563[[#This Row],[Mean fps ]]</f>
        <v>0.08</v>
      </c>
      <c r="P174" s="7">
        <v>40</v>
      </c>
      <c r="S174" s="7">
        <v>0.92</v>
      </c>
      <c r="T174" s="7">
        <v>0.73599999999999999</v>
      </c>
      <c r="U174" s="7">
        <v>1.29</v>
      </c>
      <c r="V174" s="7"/>
      <c r="W174" s="7"/>
      <c r="X174" s="7"/>
      <c r="Y174" s="7"/>
      <c r="Z174" s="7" t="e" cm="1">
        <f t="array" ref="Z174">STABW</f>
        <v>#NAME?</v>
      </c>
      <c r="AA174" s="7"/>
      <c r="AB174" s="7"/>
      <c r="AC174" s="7" t="e">
        <f>Tabelle1563[[#This Row],[Standardabweichung 1]]/Tabelle1563[[#This Row],[Mean Visc. 1 '[mPas']]]</f>
        <v>#NAME?</v>
      </c>
      <c r="AD174" s="7" t="e">
        <f>Tabelle156[[#This Row],[Standardabweichung 2]]/Tabelle156[[#This Row],[Mean Visc. 2 '[mPas']2]]</f>
        <v>#VALUE!</v>
      </c>
      <c r="AE174" s="7" t="e">
        <f>Tabelle156[[#This Row],[Standardabweichung 3]]/Tabelle156[[#This Row],[Mean Visc. 3 '[mPas']3]]</f>
        <v>#VALUE!</v>
      </c>
      <c r="AF174" s="7"/>
      <c r="AG174" s="7" t="e">
        <f>1-Tabelle1563[[#This Row],[Mean Visc. 1 '[mPas']]]/#REF!</f>
        <v>#REF!</v>
      </c>
      <c r="AH174" s="7"/>
      <c r="AI174" s="7"/>
    </row>
    <row r="175" spans="1:35" x14ac:dyDescent="0.3">
      <c r="A175">
        <v>174</v>
      </c>
      <c r="B175" s="4"/>
      <c r="C175" s="5"/>
      <c r="D175" s="7">
        <v>6</v>
      </c>
      <c r="E175" t="s">
        <v>171</v>
      </c>
      <c r="G175" t="s">
        <v>161</v>
      </c>
      <c r="H175" s="11" t="s">
        <v>164</v>
      </c>
      <c r="I175" s="9" t="s">
        <v>12</v>
      </c>
      <c r="J175" s="7">
        <v>23.5</v>
      </c>
      <c r="K175" s="7">
        <v>22</v>
      </c>
      <c r="L175" s="7">
        <v>30.64</v>
      </c>
      <c r="M175" s="7">
        <v>383</v>
      </c>
      <c r="N175" s="7">
        <f>Tabelle1563[[#This Row],[Anzahl Frames]]/Tabelle1563[[#This Row],[Aufnahmezeit '[s']]]</f>
        <v>12.5</v>
      </c>
      <c r="O175" s="7">
        <f>1/Tabelle1563[[#This Row],[Mean fps ]]</f>
        <v>0.08</v>
      </c>
      <c r="P175" s="7">
        <v>40</v>
      </c>
      <c r="S175" s="7">
        <v>0.90200000000000002</v>
      </c>
      <c r="T175" s="7">
        <v>0.749</v>
      </c>
      <c r="U175" s="7">
        <v>1.3640000000000001</v>
      </c>
      <c r="V175" s="7"/>
      <c r="W175" s="7"/>
      <c r="X175" s="7"/>
      <c r="Y175" s="7"/>
      <c r="Z175" s="7" t="e" cm="1">
        <f t="array" ref="Z175">STABW</f>
        <v>#NAME?</v>
      </c>
      <c r="AA175" s="7"/>
      <c r="AB175" s="7"/>
      <c r="AC175" s="7" t="e">
        <f>Tabelle1563[[#This Row],[Standardabweichung 1]]/Tabelle1563[[#This Row],[Mean Visc. 1 '[mPas']]]</f>
        <v>#NAME?</v>
      </c>
      <c r="AD175" s="7" t="e">
        <f>Tabelle156[[#This Row],[Standardabweichung 2]]/Tabelle156[[#This Row],[Mean Visc. 2 '[mPas']2]]</f>
        <v>#VALUE!</v>
      </c>
      <c r="AE175" s="7" t="e">
        <f>Tabelle156[[#This Row],[Standardabweichung 3]]/Tabelle156[[#This Row],[Mean Visc. 3 '[mPas']3]]</f>
        <v>#VALUE!</v>
      </c>
      <c r="AF175" s="7"/>
      <c r="AG175" s="7" t="e">
        <f>1-Tabelle1563[[#This Row],[Mean Visc. 1 '[mPas']]]/#REF!</f>
        <v>#REF!</v>
      </c>
      <c r="AH175" s="7"/>
      <c r="AI175" s="7"/>
    </row>
    <row r="176" spans="1:35" ht="15" thickBot="1" x14ac:dyDescent="0.35">
      <c r="A176">
        <v>175</v>
      </c>
      <c r="B176" s="4"/>
      <c r="C176" s="5"/>
      <c r="D176" s="7">
        <v>6</v>
      </c>
      <c r="E176" s="14" t="s">
        <v>171</v>
      </c>
      <c r="F176" s="14"/>
      <c r="G176" s="14" t="s">
        <v>161</v>
      </c>
      <c r="H176" s="11" t="s">
        <v>164</v>
      </c>
      <c r="I176" s="9" t="s">
        <v>12</v>
      </c>
      <c r="J176" s="7">
        <v>23.6</v>
      </c>
      <c r="K176" s="7">
        <v>22</v>
      </c>
      <c r="L176" s="7">
        <v>30.56</v>
      </c>
      <c r="M176" s="7">
        <v>382</v>
      </c>
      <c r="N176" s="7">
        <f>Tabelle1563[[#This Row],[Anzahl Frames]]/Tabelle1563[[#This Row],[Aufnahmezeit '[s']]]</f>
        <v>12.5</v>
      </c>
      <c r="O176" s="7">
        <f>1/Tabelle1563[[#This Row],[Mean fps ]]</f>
        <v>0.08</v>
      </c>
      <c r="P176" s="7">
        <v>40</v>
      </c>
      <c r="S176" s="7">
        <v>0.85099999999999998</v>
      </c>
      <c r="T176" s="7">
        <v>0.68600000000000005</v>
      </c>
      <c r="U176" s="7">
        <v>1.32</v>
      </c>
      <c r="V176" s="7"/>
      <c r="W176" s="7"/>
      <c r="X176" s="7"/>
      <c r="Y176" s="7"/>
      <c r="Z176" s="7" t="e" cm="1">
        <f t="array" ref="Z176">STABW</f>
        <v>#NAME?</v>
      </c>
      <c r="AA176" s="7"/>
      <c r="AB176" s="7"/>
      <c r="AC176" s="7" t="e">
        <f>Tabelle1563[[#This Row],[Standardabweichung 1]]/Tabelle1563[[#This Row],[Mean Visc. 1 '[mPas']]]</f>
        <v>#NAME?</v>
      </c>
      <c r="AD176" s="7" t="e">
        <f>Tabelle156[[#This Row],[Standardabweichung 2]]/Tabelle156[[#This Row],[Mean Visc. 2 '[mPas']2]]</f>
        <v>#VALUE!</v>
      </c>
      <c r="AE176" s="7" t="e">
        <f>Tabelle156[[#This Row],[Standardabweichung 3]]/Tabelle156[[#This Row],[Mean Visc. 3 '[mPas']3]]</f>
        <v>#VALUE!</v>
      </c>
      <c r="AF176" s="7"/>
      <c r="AG176" s="7" t="e">
        <f>1-Tabelle1563[[#This Row],[Mean Visc. 1 '[mPas']]]/#REF!</f>
        <v>#REF!</v>
      </c>
      <c r="AH176" s="7"/>
      <c r="AI176" s="7"/>
    </row>
    <row r="177" spans="1:35" ht="15" thickTop="1" x14ac:dyDescent="0.3">
      <c r="A177">
        <v>176</v>
      </c>
      <c r="B177" s="4"/>
      <c r="C177" s="5"/>
      <c r="D177" s="7">
        <v>6</v>
      </c>
      <c r="E177" t="s">
        <v>171</v>
      </c>
      <c r="G177" t="s">
        <v>161</v>
      </c>
      <c r="H177" s="11" t="s">
        <v>164</v>
      </c>
      <c r="I177" s="9" t="s">
        <v>12</v>
      </c>
      <c r="J177" s="7">
        <v>23.6</v>
      </c>
      <c r="K177" s="7">
        <v>22</v>
      </c>
      <c r="L177" s="7">
        <v>31.2</v>
      </c>
      <c r="M177" s="7">
        <v>390</v>
      </c>
      <c r="N177" s="7">
        <f>Tabelle1563[[#This Row],[Anzahl Frames]]/Tabelle1563[[#This Row],[Aufnahmezeit '[s']]]</f>
        <v>12.5</v>
      </c>
      <c r="O177" s="7">
        <f>1/Tabelle1563[[#This Row],[Mean fps ]]</f>
        <v>0.08</v>
      </c>
      <c r="P177" s="7">
        <v>40</v>
      </c>
      <c r="S177" s="7">
        <v>0.87</v>
      </c>
      <c r="T177" s="7">
        <v>0.77400000000000002</v>
      </c>
      <c r="U177" s="7">
        <v>1.3260000000000001</v>
      </c>
      <c r="V177" s="7"/>
      <c r="W177" s="7"/>
      <c r="X177" s="7"/>
      <c r="Y177" s="7"/>
      <c r="Z177" s="7" t="e" cm="1">
        <f t="array" ref="Z177">STABW</f>
        <v>#NAME?</v>
      </c>
      <c r="AA177" s="7"/>
      <c r="AB177" s="7"/>
      <c r="AC177" s="7" t="e">
        <f>Tabelle1563[[#This Row],[Standardabweichung 1]]/Tabelle1563[[#This Row],[Mean Visc. 1 '[mPas']]]</f>
        <v>#NAME?</v>
      </c>
      <c r="AD177" s="7" t="e">
        <f>Tabelle156[[#This Row],[Standardabweichung 2]]/Tabelle156[[#This Row],[Mean Visc. 2 '[mPas']2]]</f>
        <v>#VALUE!</v>
      </c>
      <c r="AE177" s="7" t="e">
        <f>Tabelle156[[#This Row],[Standardabweichung 3]]/Tabelle156[[#This Row],[Mean Visc. 3 '[mPas']3]]</f>
        <v>#VALUE!</v>
      </c>
      <c r="AF177" s="7"/>
      <c r="AG177" s="7" t="e">
        <f>1-Tabelle1563[[#This Row],[Mean Visc. 1 '[mPas']]]/$AF$2</f>
        <v>#DIV/0!</v>
      </c>
      <c r="AH177" s="7"/>
      <c r="AI177" s="7"/>
    </row>
    <row r="178" spans="1:35" x14ac:dyDescent="0.3">
      <c r="A178">
        <v>177</v>
      </c>
      <c r="B178" s="4"/>
      <c r="C178" s="5"/>
      <c r="D178" s="7">
        <v>6</v>
      </c>
      <c r="E178" t="s">
        <v>171</v>
      </c>
      <c r="G178" t="s">
        <v>161</v>
      </c>
      <c r="H178" s="11" t="s">
        <v>164</v>
      </c>
      <c r="I178" s="9" t="s">
        <v>12</v>
      </c>
      <c r="J178" s="7">
        <v>23.7</v>
      </c>
      <c r="K178" s="7">
        <v>22</v>
      </c>
      <c r="L178" s="7">
        <v>30.96</v>
      </c>
      <c r="M178" s="7">
        <v>387</v>
      </c>
      <c r="N178" s="7">
        <f>Tabelle1563[[#This Row],[Anzahl Frames]]/Tabelle1563[[#This Row],[Aufnahmezeit '[s']]]</f>
        <v>12.5</v>
      </c>
      <c r="O178" s="7">
        <f>1/Tabelle1563[[#This Row],[Mean fps ]]</f>
        <v>0.08</v>
      </c>
      <c r="P178" s="7">
        <v>40</v>
      </c>
      <c r="S178" s="7">
        <v>0.88500000000000001</v>
      </c>
      <c r="T178" s="7">
        <v>0.71199999999999997</v>
      </c>
      <c r="U178" s="7">
        <v>1.284</v>
      </c>
      <c r="V178" s="7"/>
      <c r="W178" s="7"/>
      <c r="X178" s="7"/>
      <c r="Y178" s="7"/>
      <c r="Z178" s="7" t="e" cm="1">
        <f t="array" ref="Z178">STABW</f>
        <v>#NAME?</v>
      </c>
      <c r="AA178" s="7"/>
      <c r="AB178" s="7"/>
      <c r="AC178" s="7" t="e">
        <f>Tabelle1563[[#This Row],[Standardabweichung 1]]/Tabelle1563[[#This Row],[Mean Visc. 1 '[mPas']]]</f>
        <v>#NAME?</v>
      </c>
      <c r="AD178" s="7" t="e">
        <f>Tabelle156[[#This Row],[Standardabweichung 2]]/Tabelle156[[#This Row],[Mean Visc. 2 '[mPas']2]]</f>
        <v>#VALUE!</v>
      </c>
      <c r="AE178" s="7" t="e">
        <f>Tabelle156[[#This Row],[Standardabweichung 3]]/Tabelle156[[#This Row],[Mean Visc. 3 '[mPas']3]]</f>
        <v>#VALUE!</v>
      </c>
      <c r="AF178" s="7"/>
      <c r="AG178" s="7" t="e">
        <f>1-Tabelle1563[[#This Row],[Mean Visc. 1 '[mPas']]]/$AF$2</f>
        <v>#DIV/0!</v>
      </c>
      <c r="AH178" s="7"/>
      <c r="AI178" s="7"/>
    </row>
    <row r="179" spans="1:35" x14ac:dyDescent="0.3">
      <c r="A179">
        <v>178</v>
      </c>
      <c r="B179" s="4"/>
      <c r="C179" s="5"/>
      <c r="D179" s="7">
        <v>6</v>
      </c>
      <c r="E179" t="s">
        <v>171</v>
      </c>
      <c r="G179" t="s">
        <v>161</v>
      </c>
      <c r="H179" s="11" t="s">
        <v>164</v>
      </c>
      <c r="I179" s="9" t="s">
        <v>12</v>
      </c>
      <c r="J179" s="7">
        <v>23.9</v>
      </c>
      <c r="K179" s="7">
        <v>21</v>
      </c>
      <c r="L179" s="7">
        <v>31.12</v>
      </c>
      <c r="M179" s="7">
        <v>389</v>
      </c>
      <c r="N179" s="7">
        <f>Tabelle1563[[#This Row],[Anzahl Frames]]/Tabelle1563[[#This Row],[Aufnahmezeit '[s']]]</f>
        <v>12.5</v>
      </c>
      <c r="O179" s="7">
        <f>1/Tabelle1563[[#This Row],[Mean fps ]]</f>
        <v>0.08</v>
      </c>
      <c r="P179" s="7">
        <v>40</v>
      </c>
      <c r="S179" s="7">
        <v>0.83099999999999996</v>
      </c>
      <c r="T179" s="7">
        <v>0.70099999999999996</v>
      </c>
      <c r="U179" s="7">
        <v>1.306</v>
      </c>
      <c r="V179" s="7"/>
      <c r="W179" s="7"/>
      <c r="X179" s="7"/>
      <c r="Y179" s="7"/>
      <c r="Z179" s="7" t="e" cm="1">
        <f t="array" ref="Z179">STABW</f>
        <v>#NAME?</v>
      </c>
      <c r="AA179" s="7"/>
      <c r="AB179" s="7"/>
      <c r="AC179" s="7" t="e">
        <f>Tabelle1563[[#This Row],[Standardabweichung 1]]/Tabelle1563[[#This Row],[Mean Visc. 1 '[mPas']]]</f>
        <v>#NAME?</v>
      </c>
      <c r="AD179" s="7" t="e">
        <f>Tabelle156[[#This Row],[Standardabweichung 2]]/Tabelle156[[#This Row],[Mean Visc. 2 '[mPas']2]]</f>
        <v>#VALUE!</v>
      </c>
      <c r="AE179" s="7" t="e">
        <f>Tabelle156[[#This Row],[Standardabweichung 3]]/Tabelle156[[#This Row],[Mean Visc. 3 '[mPas']3]]</f>
        <v>#VALUE!</v>
      </c>
      <c r="AF179" s="7"/>
      <c r="AG179" s="7" t="e">
        <f>1-Tabelle1563[[#This Row],[Mean Visc. 1 '[mPas']]]/$AF$2</f>
        <v>#DIV/0!</v>
      </c>
      <c r="AH179" s="7"/>
      <c r="AI179" s="7"/>
    </row>
    <row r="180" spans="1:35" x14ac:dyDescent="0.3">
      <c r="A180">
        <v>179</v>
      </c>
      <c r="B180" s="4"/>
      <c r="C180" s="5"/>
      <c r="D180" s="7">
        <v>6</v>
      </c>
      <c r="E180" t="s">
        <v>171</v>
      </c>
      <c r="G180" t="s">
        <v>161</v>
      </c>
      <c r="H180" s="11" t="s">
        <v>164</v>
      </c>
      <c r="I180" s="9" t="s">
        <v>12</v>
      </c>
      <c r="J180" s="7">
        <v>24</v>
      </c>
      <c r="K180" s="7">
        <v>22</v>
      </c>
      <c r="L180" s="7">
        <v>30.72</v>
      </c>
      <c r="M180" s="7">
        <v>384</v>
      </c>
      <c r="N180" s="7">
        <f>Tabelle1563[[#This Row],[Anzahl Frames]]/Tabelle1563[[#This Row],[Aufnahmezeit '[s']]]</f>
        <v>12.5</v>
      </c>
      <c r="O180" s="7">
        <f>1/Tabelle1563[[#This Row],[Mean fps ]]</f>
        <v>0.08</v>
      </c>
      <c r="P180" s="7">
        <v>40</v>
      </c>
      <c r="S180" s="7">
        <v>0.85799999999999998</v>
      </c>
      <c r="T180" s="7">
        <v>0.72399999999999998</v>
      </c>
      <c r="U180" s="7">
        <v>1.2769999999999999</v>
      </c>
      <c r="V180" s="7"/>
      <c r="W180" s="7"/>
      <c r="X180" s="7"/>
      <c r="Y180" s="7"/>
      <c r="Z180" s="7" t="e" cm="1">
        <f t="array" ref="Z180">STABW</f>
        <v>#NAME?</v>
      </c>
      <c r="AA180" s="7"/>
      <c r="AB180" s="7"/>
      <c r="AC180" s="7" t="e">
        <f>Tabelle1563[[#This Row],[Standardabweichung 1]]/Tabelle1563[[#This Row],[Mean Visc. 1 '[mPas']]]</f>
        <v>#NAME?</v>
      </c>
      <c r="AD180" s="7" t="e">
        <f>Tabelle156[[#This Row],[Standardabweichung 2]]/Tabelle156[[#This Row],[Mean Visc. 2 '[mPas']2]]</f>
        <v>#VALUE!</v>
      </c>
      <c r="AE180" s="7" t="e">
        <f>Tabelle156[[#This Row],[Standardabweichung 3]]/Tabelle156[[#This Row],[Mean Visc. 3 '[mPas']3]]</f>
        <v>#VALUE!</v>
      </c>
      <c r="AF180" s="7"/>
      <c r="AG180" s="7" t="e">
        <f>1-Tabelle1563[[#This Row],[Mean Visc. 1 '[mPas']]]/$AF$2</f>
        <v>#DIV/0!</v>
      </c>
      <c r="AH180" s="7"/>
      <c r="AI180" s="7"/>
    </row>
    <row r="181" spans="1:35" s="14" customFormat="1" ht="15" thickBot="1" x14ac:dyDescent="0.35">
      <c r="A181">
        <v>180</v>
      </c>
      <c r="B181" s="15"/>
      <c r="C181" s="16"/>
      <c r="D181" s="7">
        <v>6</v>
      </c>
      <c r="E181" s="14" t="s">
        <v>171</v>
      </c>
      <c r="G181" s="14" t="s">
        <v>161</v>
      </c>
      <c r="H181" s="21" t="s">
        <v>164</v>
      </c>
      <c r="I181" s="19" t="s">
        <v>12</v>
      </c>
      <c r="J181" s="17">
        <v>24</v>
      </c>
      <c r="K181" s="17">
        <v>21</v>
      </c>
      <c r="L181" s="17">
        <v>30.3</v>
      </c>
      <c r="M181" s="17">
        <v>379</v>
      </c>
      <c r="N181" s="17">
        <f>Tabelle1563[[#This Row],[Anzahl Frames]]/Tabelle1563[[#This Row],[Aufnahmezeit '[s']]]</f>
        <v>12.508250825082508</v>
      </c>
      <c r="O181" s="17">
        <f>1/Tabelle1563[[#This Row],[Mean fps ]]</f>
        <v>7.9947229551451199E-2</v>
      </c>
      <c r="P181" s="17">
        <v>40</v>
      </c>
      <c r="Q181" s="20"/>
      <c r="R181" s="21"/>
      <c r="S181" s="17">
        <v>0.89100000000000001</v>
      </c>
      <c r="T181" s="17">
        <v>0.77500000000000002</v>
      </c>
      <c r="U181" s="17">
        <v>1.2969999999999999</v>
      </c>
      <c r="V181" s="17"/>
      <c r="W181" s="7">
        <f>SUM(S172:S181)/10</f>
        <v>0.87310000000000021</v>
      </c>
      <c r="X181" s="7">
        <f>SUM(T172:T181)/10</f>
        <v>0.72839999999999994</v>
      </c>
      <c r="Y181" s="7">
        <f t="shared" ref="Y181" si="44">SUM(U172:U181)/10</f>
        <v>1.3113000000000001</v>
      </c>
      <c r="Z181" s="17">
        <f>_xlfn.STDEV.S(S172:S181)</f>
        <v>4.2064632808730594E-2</v>
      </c>
      <c r="AA181" s="17">
        <f t="shared" ref="AA181" si="45">_xlfn.STDEV.S(T172:T181)</f>
        <v>3.0837206963882667E-2</v>
      </c>
      <c r="AB181" s="17">
        <f>_xlfn.STDEV.S(U172:U181)</f>
        <v>3.6463223481566581E-2</v>
      </c>
      <c r="AC181" s="17">
        <f>Tabelle1563[[#This Row],[Standardabweichung 1]]/Tabelle1563[[#This Row],[Mean Visc. 1 '[mPas']]]</f>
        <v>4.8178482199897586E-2</v>
      </c>
      <c r="AD181" s="17">
        <f>Tabelle1563[[#This Row],[Standardabweichung 2]]/Tabelle1563[[#This Row],[Mean Visc. 2 '[mPas']2]]</f>
        <v>4.2335539489130519E-2</v>
      </c>
      <c r="AE181" s="17">
        <f>Tabelle1563[[#This Row],[Standardabweichung 3]]/Tabelle1563[[#This Row],[Mean Visc. 3 '[mPas']3]]</f>
        <v>2.7806927081191625E-2</v>
      </c>
      <c r="AF181" s="17"/>
      <c r="AG181" s="17" t="e">
        <f>1-Tabelle1563[[#This Row],[Mean Visc. 1 '[mPas']]]/$AF$2</f>
        <v>#DIV/0!</v>
      </c>
      <c r="AH181" s="17"/>
      <c r="AI181" s="17"/>
    </row>
    <row r="182" spans="1:35" ht="15" thickTop="1" x14ac:dyDescent="0.3">
      <c r="B182" s="4"/>
      <c r="C182" s="5"/>
      <c r="G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 spans="1:35" x14ac:dyDescent="0.3">
      <c r="B183" s="4"/>
      <c r="C183" s="5"/>
      <c r="G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 spans="1:35" x14ac:dyDescent="0.3">
      <c r="B184" s="4"/>
      <c r="C184" s="5"/>
      <c r="G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 spans="1:35" x14ac:dyDescent="0.3">
      <c r="B185" s="4"/>
      <c r="C185" s="5"/>
      <c r="G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 spans="1:35" ht="15" thickBot="1" x14ac:dyDescent="0.35">
      <c r="B186" s="4"/>
      <c r="C186" s="5"/>
      <c r="G186" s="7"/>
      <c r="H186" s="21"/>
      <c r="J186" s="17"/>
      <c r="K186" s="17"/>
      <c r="L186" s="17"/>
      <c r="M186" s="17"/>
      <c r="S186" s="17"/>
      <c r="T186" s="17"/>
      <c r="U186" s="1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 spans="1:35" ht="15" thickTop="1" x14ac:dyDescent="0.3">
      <c r="B187" s="4"/>
      <c r="C187" s="5"/>
      <c r="G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 spans="1:35" x14ac:dyDescent="0.3">
      <c r="B188" s="4"/>
      <c r="C188" s="5"/>
      <c r="G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 spans="1:35" x14ac:dyDescent="0.3">
      <c r="B189" s="4"/>
      <c r="C189" s="5"/>
      <c r="G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 spans="1:35" x14ac:dyDescent="0.3">
      <c r="B190" s="4"/>
      <c r="C190" s="5"/>
      <c r="G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 spans="1:35" s="14" customFormat="1" ht="15" thickBot="1" x14ac:dyDescent="0.35">
      <c r="B191" s="15"/>
      <c r="C191" s="16"/>
      <c r="D191" s="7"/>
      <c r="F191"/>
      <c r="G191" s="17"/>
      <c r="H191" s="21"/>
      <c r="I191" s="19"/>
      <c r="J191" s="17"/>
      <c r="K191" s="17"/>
      <c r="L191" s="17"/>
      <c r="M191" s="17"/>
      <c r="N191" s="17"/>
      <c r="O191" s="17"/>
      <c r="P191" s="7"/>
      <c r="Q191" s="20"/>
      <c r="R191" s="21"/>
      <c r="S191" s="17"/>
      <c r="T191" s="17"/>
      <c r="U191" s="17"/>
      <c r="V191" s="17"/>
      <c r="W191" s="7"/>
      <c r="X191" s="7"/>
      <c r="Y191" s="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</row>
    <row r="192" spans="1:35" ht="15" thickTop="1" x14ac:dyDescent="0.3">
      <c r="B192" s="4"/>
      <c r="C192" s="5"/>
      <c r="G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 spans="2:35" x14ac:dyDescent="0.3">
      <c r="B193" s="4"/>
      <c r="C193" s="5"/>
      <c r="G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 spans="2:35" x14ac:dyDescent="0.3">
      <c r="B194" s="4"/>
      <c r="C194" s="5"/>
      <c r="G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 spans="2:35" x14ac:dyDescent="0.3">
      <c r="B195" s="4"/>
      <c r="C195" s="5"/>
      <c r="G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 spans="2:35" ht="15" thickBot="1" x14ac:dyDescent="0.35">
      <c r="B196" s="4"/>
      <c r="C196" s="5"/>
      <c r="G196" s="17"/>
      <c r="H196" s="21"/>
      <c r="I196" s="19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 spans="2:35" ht="15" thickTop="1" x14ac:dyDescent="0.3">
      <c r="B197" s="4"/>
      <c r="C197" s="5"/>
      <c r="G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 spans="2:35" x14ac:dyDescent="0.3">
      <c r="B198" s="4"/>
      <c r="C198" s="5"/>
      <c r="G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 spans="2:35" x14ac:dyDescent="0.3">
      <c r="B199" s="4"/>
      <c r="C199" s="5"/>
      <c r="G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 spans="2:35" x14ac:dyDescent="0.3">
      <c r="B200" s="4"/>
      <c r="C200" s="5"/>
      <c r="G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 spans="2:35" s="14" customFormat="1" ht="15" thickBot="1" x14ac:dyDescent="0.35">
      <c r="B201" s="15"/>
      <c r="C201" s="16"/>
      <c r="D201" s="7"/>
      <c r="G201" s="17"/>
      <c r="H201" s="21"/>
      <c r="I201" s="19"/>
      <c r="J201" s="17"/>
      <c r="K201" s="17"/>
      <c r="L201" s="17"/>
      <c r="M201" s="17"/>
      <c r="N201" s="17"/>
      <c r="O201" s="17"/>
      <c r="P201" s="17"/>
      <c r="Q201" s="20"/>
      <c r="R201" s="21"/>
      <c r="S201" s="17"/>
      <c r="T201" s="17"/>
      <c r="U201" s="17"/>
      <c r="V201" s="17"/>
      <c r="W201" s="7"/>
      <c r="X201" s="7"/>
      <c r="Y201" s="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</row>
    <row r="202" spans="2:35" ht="15" thickTop="1" x14ac:dyDescent="0.3">
      <c r="B202" s="4"/>
      <c r="C202" s="5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 spans="2:35" x14ac:dyDescent="0.3">
      <c r="B203" s="4"/>
      <c r="C203" s="5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 spans="2:35" x14ac:dyDescent="0.3">
      <c r="B204" s="4"/>
      <c r="C204" s="5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 spans="2:35" x14ac:dyDescent="0.3">
      <c r="B205" s="4"/>
      <c r="C205" s="5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 spans="2:35" x14ac:dyDescent="0.3">
      <c r="B206" s="4"/>
      <c r="C206" s="5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 spans="2:35" x14ac:dyDescent="0.3">
      <c r="B207" s="4"/>
      <c r="C207" s="5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 spans="2:35" x14ac:dyDescent="0.3">
      <c r="B208" s="4"/>
      <c r="C208" s="5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 spans="2:35" x14ac:dyDescent="0.3">
      <c r="B209" s="4"/>
      <c r="C209" s="5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 spans="2:35" x14ac:dyDescent="0.3">
      <c r="B210" s="4"/>
      <c r="C210" s="5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 spans="2:35" s="14" customFormat="1" ht="15" thickBot="1" x14ac:dyDescent="0.35">
      <c r="B211" s="15"/>
      <c r="C211" s="16"/>
      <c r="D211" s="17"/>
      <c r="H211" s="21"/>
      <c r="I211" s="19"/>
      <c r="J211" s="17"/>
      <c r="K211" s="17"/>
      <c r="L211" s="17"/>
      <c r="M211" s="17"/>
      <c r="N211" s="17"/>
      <c r="O211" s="17"/>
      <c r="P211" s="17"/>
      <c r="Q211" s="20"/>
      <c r="R211" s="21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</row>
    <row r="212" spans="2:35" ht="15" thickTop="1" x14ac:dyDescent="0.3">
      <c r="B212" s="4"/>
      <c r="C212" s="5"/>
      <c r="G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 spans="2:35" x14ac:dyDescent="0.3">
      <c r="B213" s="4"/>
      <c r="C213" s="5"/>
      <c r="G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 spans="2:35" x14ac:dyDescent="0.3">
      <c r="B214" s="4"/>
      <c r="C214" s="5"/>
      <c r="G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 spans="2:35" x14ac:dyDescent="0.3">
      <c r="B215" s="4"/>
      <c r="C215" s="5"/>
      <c r="G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 spans="2:35" s="14" customFormat="1" ht="15" thickBot="1" x14ac:dyDescent="0.35">
      <c r="B216" s="15"/>
      <c r="C216" s="16"/>
      <c r="D216" s="17"/>
      <c r="G216" s="17"/>
      <c r="H216" s="21"/>
      <c r="I216" s="19"/>
      <c r="J216" s="17"/>
      <c r="K216" s="17"/>
      <c r="L216" s="17"/>
      <c r="M216" s="17"/>
      <c r="N216" s="17"/>
      <c r="O216" s="17"/>
      <c r="P216" s="17"/>
      <c r="Q216" s="20"/>
      <c r="R216" s="21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</row>
    <row r="217" spans="2:35" ht="15" thickTop="1" x14ac:dyDescent="0.3">
      <c r="B217" s="4"/>
      <c r="C217" s="5"/>
      <c r="G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 spans="2:35" x14ac:dyDescent="0.3">
      <c r="B218" s="4"/>
      <c r="C218" s="5"/>
      <c r="G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 spans="2:35" x14ac:dyDescent="0.3">
      <c r="B219" s="4"/>
      <c r="C219" s="5"/>
      <c r="G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 spans="2:35" x14ac:dyDescent="0.3">
      <c r="B220" s="4"/>
      <c r="C220" s="5"/>
      <c r="G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 spans="2:35" ht="15" thickBot="1" x14ac:dyDescent="0.35">
      <c r="B221" s="4"/>
      <c r="C221" s="5"/>
      <c r="G221" s="7"/>
      <c r="J221" s="17"/>
      <c r="K221" s="17"/>
      <c r="L221" s="17"/>
      <c r="M221" s="17"/>
      <c r="S221" s="7"/>
      <c r="T221" s="7"/>
      <c r="U221" s="7"/>
      <c r="V221" s="7"/>
      <c r="W221" s="17"/>
      <c r="X221" s="17"/>
      <c r="Y221" s="17"/>
      <c r="Z221" s="17"/>
      <c r="AA221" s="17"/>
      <c r="AB221" s="17"/>
      <c r="AC221" s="17"/>
      <c r="AD221" s="17"/>
      <c r="AE221" s="17"/>
      <c r="AF221" s="7"/>
      <c r="AG221" s="7"/>
      <c r="AH221" s="7"/>
      <c r="AI221" s="7"/>
    </row>
    <row r="222" spans="2:35" ht="15" thickTop="1" x14ac:dyDescent="0.3"/>
  </sheetData>
  <phoneticPr fontId="2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0232-3504-45CC-BD46-3F67CA7D9943}">
  <dimension ref="A1:AI211"/>
  <sheetViews>
    <sheetView tabSelected="1" zoomScale="69" zoomScaleNormal="100" workbookViewId="0">
      <selection activeCell="G19" sqref="G19"/>
    </sheetView>
  </sheetViews>
  <sheetFormatPr baseColWidth="10" defaultRowHeight="14.4" x14ac:dyDescent="0.3"/>
  <cols>
    <col min="1" max="1" width="5.33203125" customWidth="1"/>
    <col min="2" max="2" width="11.33203125" customWidth="1"/>
    <col min="3" max="3" width="15.109375" customWidth="1"/>
    <col min="4" max="4" width="11.5546875" style="7"/>
    <col min="6" max="6" width="14.109375" customWidth="1"/>
    <col min="7" max="7" width="14.33203125" customWidth="1"/>
    <col min="8" max="8" width="23.5546875" style="11" customWidth="1"/>
    <col min="9" max="9" width="18.33203125" style="9" customWidth="1"/>
    <col min="10" max="10" width="16.33203125" style="7" customWidth="1"/>
    <col min="11" max="11" width="18.44140625" style="7" customWidth="1"/>
    <col min="12" max="12" width="17.21875" style="7" customWidth="1"/>
    <col min="13" max="15" width="15" style="7" customWidth="1"/>
    <col min="16" max="16" width="15.44140625" style="7" customWidth="1"/>
    <col min="17" max="17" width="34.33203125" style="3" customWidth="1"/>
    <col min="18" max="18" width="22.6640625" style="11" customWidth="1"/>
    <col min="19" max="21" width="28.77734375" customWidth="1"/>
    <col min="22" max="22" width="61.109375" customWidth="1"/>
    <col min="23" max="25" width="19.109375" customWidth="1"/>
    <col min="26" max="26" width="22.77734375" customWidth="1"/>
    <col min="27" max="27" width="21.109375" customWidth="1"/>
    <col min="28" max="28" width="22.109375" customWidth="1"/>
    <col min="33" max="33" width="29.5546875" customWidth="1"/>
    <col min="34" max="34" width="28.33203125" customWidth="1"/>
    <col min="35" max="35" width="24.21875" customWidth="1"/>
  </cols>
  <sheetData>
    <row r="1" spans="1:35" x14ac:dyDescent="0.3">
      <c r="A1" s="1" t="s">
        <v>10</v>
      </c>
      <c r="B1" s="1" t="s">
        <v>0</v>
      </c>
      <c r="C1" s="1" t="s">
        <v>13</v>
      </c>
      <c r="D1" s="6" t="s">
        <v>176</v>
      </c>
      <c r="E1" s="1" t="s">
        <v>6</v>
      </c>
      <c r="F1" s="1" t="s">
        <v>162</v>
      </c>
      <c r="G1" s="1" t="s">
        <v>5</v>
      </c>
      <c r="H1" s="10" t="s">
        <v>14</v>
      </c>
      <c r="I1" s="8" t="s">
        <v>3</v>
      </c>
      <c r="J1" s="6" t="s">
        <v>2</v>
      </c>
      <c r="K1" s="6" t="s">
        <v>40</v>
      </c>
      <c r="L1" s="6" t="s">
        <v>8</v>
      </c>
      <c r="M1" s="6" t="s">
        <v>4</v>
      </c>
      <c r="N1" s="6" t="s">
        <v>42</v>
      </c>
      <c r="O1" s="6" t="s">
        <v>43</v>
      </c>
      <c r="P1" s="6" t="s">
        <v>9</v>
      </c>
      <c r="Q1" s="2" t="s">
        <v>7</v>
      </c>
      <c r="R1" s="13" t="s">
        <v>41</v>
      </c>
      <c r="S1" s="8" t="s">
        <v>44</v>
      </c>
      <c r="T1" s="8" t="s">
        <v>45</v>
      </c>
      <c r="U1" s="8" t="s">
        <v>46</v>
      </c>
      <c r="V1" s="8" t="s">
        <v>47</v>
      </c>
      <c r="W1" s="6" t="s">
        <v>48</v>
      </c>
      <c r="X1" s="6" t="s">
        <v>49</v>
      </c>
      <c r="Y1" s="6" t="s">
        <v>50</v>
      </c>
      <c r="Z1" s="6" t="s">
        <v>140</v>
      </c>
      <c r="AA1" s="6" t="s">
        <v>141</v>
      </c>
      <c r="AB1" s="6" t="s">
        <v>142</v>
      </c>
      <c r="AC1" s="6" t="s">
        <v>143</v>
      </c>
      <c r="AD1" s="6" t="s">
        <v>144</v>
      </c>
      <c r="AE1" s="6" t="s">
        <v>145</v>
      </c>
      <c r="AF1" s="6" t="s">
        <v>146</v>
      </c>
      <c r="AG1" s="6" t="s">
        <v>147</v>
      </c>
      <c r="AH1" s="6" t="s">
        <v>148</v>
      </c>
      <c r="AI1" s="6" t="s">
        <v>149</v>
      </c>
    </row>
    <row r="2" spans="1:35" x14ac:dyDescent="0.3">
      <c r="A2">
        <v>1</v>
      </c>
      <c r="B2" s="4"/>
      <c r="C2" s="5"/>
      <c r="D2" s="7">
        <v>1</v>
      </c>
      <c r="E2" t="s">
        <v>174</v>
      </c>
      <c r="F2" t="s">
        <v>172</v>
      </c>
      <c r="G2" s="7" t="s">
        <v>186</v>
      </c>
      <c r="H2" s="12">
        <v>46063</v>
      </c>
      <c r="I2" s="9" t="s">
        <v>12</v>
      </c>
      <c r="J2" s="7">
        <v>23</v>
      </c>
      <c r="K2" s="7">
        <v>29</v>
      </c>
      <c r="L2" s="7">
        <v>29.94</v>
      </c>
      <c r="M2" s="7">
        <v>378</v>
      </c>
      <c r="N2" s="7">
        <f>Tabelle15638[[#This Row],[Anzahl Frames]]/Tabelle15638[[#This Row],[Aufnahmezeit '[s']]]</f>
        <v>12.625250501002004</v>
      </c>
      <c r="O2" s="7">
        <f>1/Tabelle15638[[#This Row],[Mean fps ]]</f>
        <v>7.9206349206349211E-2</v>
      </c>
      <c r="P2" s="7">
        <v>40</v>
      </c>
      <c r="S2" s="7">
        <v>1.266</v>
      </c>
      <c r="T2" s="7">
        <v>1.04</v>
      </c>
      <c r="U2" s="7">
        <v>1.6639999999999999</v>
      </c>
      <c r="V2" s="7"/>
      <c r="W2" s="7"/>
      <c r="X2" s="7"/>
      <c r="Y2" s="7"/>
      <c r="Z2" s="7" t="e" cm="1">
        <f t="array" ref="Z2">STABW</f>
        <v>#NAME?</v>
      </c>
      <c r="AA2" s="7"/>
      <c r="AB2" s="7"/>
      <c r="AC2" s="7"/>
      <c r="AD2" s="7"/>
      <c r="AE2" s="7"/>
      <c r="AF2" s="7"/>
      <c r="AG2" s="7" t="e">
        <f>1-Tabelle15638[[#This Row],[Mean Visc. 1 '[mPas']]]/#REF!</f>
        <v>#REF!</v>
      </c>
      <c r="AH2" s="7"/>
      <c r="AI2" s="7"/>
    </row>
    <row r="3" spans="1:35" x14ac:dyDescent="0.3">
      <c r="A3">
        <v>2</v>
      </c>
      <c r="B3" s="4"/>
      <c r="C3" s="5"/>
      <c r="D3" s="7">
        <v>1</v>
      </c>
      <c r="E3" t="s">
        <v>174</v>
      </c>
      <c r="F3" t="s">
        <v>172</v>
      </c>
      <c r="G3" s="7" t="s">
        <v>186</v>
      </c>
      <c r="H3" s="12">
        <v>46063</v>
      </c>
      <c r="I3" s="9" t="s">
        <v>12</v>
      </c>
      <c r="J3" s="7">
        <v>23.3</v>
      </c>
      <c r="K3" s="7">
        <v>28</v>
      </c>
      <c r="L3" s="7">
        <v>31.04</v>
      </c>
      <c r="M3" s="7">
        <v>389</v>
      </c>
      <c r="N3" s="7">
        <f>Tabelle15638[[#This Row],[Anzahl Frames]]/Tabelle15638[[#This Row],[Aufnahmezeit '[s']]]</f>
        <v>12.532216494845361</v>
      </c>
      <c r="O3" s="7">
        <f>1/Tabelle15638[[#This Row],[Mean fps ]]</f>
        <v>7.9794344473007706E-2</v>
      </c>
      <c r="P3" s="7">
        <v>40</v>
      </c>
      <c r="S3" s="7">
        <v>1.484</v>
      </c>
      <c r="T3" s="7">
        <v>1.101</v>
      </c>
      <c r="U3" s="7">
        <v>1.776</v>
      </c>
      <c r="V3" s="7"/>
      <c r="W3" s="7"/>
      <c r="X3" s="7"/>
      <c r="Y3" s="7"/>
      <c r="Z3" s="7" t="e" cm="1">
        <f t="array" ref="Z3">STABW</f>
        <v>#NAME?</v>
      </c>
      <c r="AA3" s="7"/>
      <c r="AB3" s="7"/>
      <c r="AC3" s="7"/>
      <c r="AD3" s="7"/>
      <c r="AE3" s="7"/>
      <c r="AF3" s="7"/>
      <c r="AG3" s="7" t="e">
        <f>1-Tabelle15638[[#This Row],[Mean Visc. 1 '[mPas']]]/#REF!</f>
        <v>#REF!</v>
      </c>
      <c r="AH3" s="7"/>
      <c r="AI3" s="7"/>
    </row>
    <row r="4" spans="1:35" x14ac:dyDescent="0.3">
      <c r="A4">
        <v>3</v>
      </c>
      <c r="B4" s="4"/>
      <c r="C4" s="5"/>
      <c r="D4" s="7">
        <v>1</v>
      </c>
      <c r="E4" t="s">
        <v>174</v>
      </c>
      <c r="F4" t="s">
        <v>172</v>
      </c>
      <c r="G4" s="7" t="s">
        <v>186</v>
      </c>
      <c r="H4" s="12">
        <v>46063</v>
      </c>
      <c r="I4" s="9" t="s">
        <v>12</v>
      </c>
      <c r="J4" s="7">
        <v>23.5</v>
      </c>
      <c r="K4" s="7">
        <v>28</v>
      </c>
      <c r="L4" s="7">
        <v>30.02</v>
      </c>
      <c r="M4" s="7">
        <v>375</v>
      </c>
      <c r="N4" s="7">
        <f>Tabelle15638[[#This Row],[Anzahl Frames]]/Tabelle15638[[#This Row],[Aufnahmezeit '[s']]]</f>
        <v>12.491672218520986</v>
      </c>
      <c r="O4" s="7">
        <f>1/Tabelle15638[[#This Row],[Mean fps ]]</f>
        <v>8.0053333333333337E-2</v>
      </c>
      <c r="P4" s="7">
        <v>40</v>
      </c>
      <c r="S4" s="7">
        <v>1.548</v>
      </c>
      <c r="T4" s="7">
        <v>1.1200000000000001</v>
      </c>
      <c r="U4" s="7">
        <v>2.0350000000000001</v>
      </c>
      <c r="V4" s="7"/>
      <c r="W4" s="7"/>
      <c r="X4" s="7"/>
      <c r="Y4" s="7"/>
      <c r="Z4" s="7" t="e" cm="1">
        <f t="array" ref="Z4">STABW</f>
        <v>#NAME?</v>
      </c>
      <c r="AA4" s="7"/>
      <c r="AB4" s="7"/>
      <c r="AC4" s="7"/>
      <c r="AD4" s="7"/>
      <c r="AE4" s="7"/>
      <c r="AF4" s="7"/>
      <c r="AG4" s="7" t="e">
        <f>1-Tabelle15638[[#This Row],[Mean Visc. 1 '[mPas']]]/#REF!</f>
        <v>#REF!</v>
      </c>
      <c r="AH4" s="7"/>
      <c r="AI4" s="7"/>
    </row>
    <row r="5" spans="1:35" x14ac:dyDescent="0.3">
      <c r="A5">
        <v>4</v>
      </c>
      <c r="B5" s="4"/>
      <c r="C5" s="5"/>
      <c r="D5" s="7">
        <v>1</v>
      </c>
      <c r="E5" t="s">
        <v>174</v>
      </c>
      <c r="F5" t="s">
        <v>172</v>
      </c>
      <c r="G5" s="7" t="s">
        <v>186</v>
      </c>
      <c r="H5" s="12">
        <v>46063</v>
      </c>
      <c r="I5" s="9" t="s">
        <v>12</v>
      </c>
      <c r="J5" s="7">
        <v>23.6</v>
      </c>
      <c r="K5" s="7">
        <v>28</v>
      </c>
      <c r="L5" s="7">
        <v>30.24</v>
      </c>
      <c r="M5" s="7">
        <v>378</v>
      </c>
      <c r="N5" s="7">
        <f>Tabelle15638[[#This Row],[Anzahl Frames]]/Tabelle15638[[#This Row],[Aufnahmezeit '[s']]]</f>
        <v>12.5</v>
      </c>
      <c r="O5" s="7">
        <f>1/Tabelle15638[[#This Row],[Mean fps ]]</f>
        <v>0.08</v>
      </c>
      <c r="P5" s="7">
        <v>40</v>
      </c>
      <c r="S5" s="7">
        <v>1.395</v>
      </c>
      <c r="T5" s="7">
        <v>1.048</v>
      </c>
      <c r="U5" s="7">
        <v>1.8380000000000001</v>
      </c>
      <c r="V5" s="7"/>
      <c r="W5" s="7"/>
      <c r="X5" s="7"/>
      <c r="Y5" s="7"/>
      <c r="Z5" s="7" t="e" cm="1">
        <f t="array" ref="Z5">STABW</f>
        <v>#NAME?</v>
      </c>
      <c r="AA5" s="7"/>
      <c r="AB5" s="7"/>
      <c r="AC5" s="7"/>
      <c r="AD5" s="7"/>
      <c r="AE5" s="7"/>
      <c r="AF5" s="7"/>
      <c r="AG5" s="7" t="e">
        <f>1-Tabelle15638[[#This Row],[Mean Visc. 1 '[mPas']]]/#REF!</f>
        <v>#REF!</v>
      </c>
      <c r="AH5" s="7"/>
      <c r="AI5" s="7"/>
    </row>
    <row r="6" spans="1:35" s="14" customFormat="1" ht="15" thickBot="1" x14ac:dyDescent="0.35">
      <c r="A6">
        <v>5</v>
      </c>
      <c r="B6" s="15"/>
      <c r="C6" s="16"/>
      <c r="D6" s="7">
        <v>1</v>
      </c>
      <c r="E6" t="s">
        <v>174</v>
      </c>
      <c r="F6" t="s">
        <v>172</v>
      </c>
      <c r="G6" s="7" t="s">
        <v>186</v>
      </c>
      <c r="H6" s="12">
        <v>46063</v>
      </c>
      <c r="I6" s="9" t="s">
        <v>12</v>
      </c>
      <c r="J6" s="17">
        <v>23.7</v>
      </c>
      <c r="K6" s="17">
        <v>28</v>
      </c>
      <c r="L6" s="17">
        <v>30.32</v>
      </c>
      <c r="M6" s="17">
        <v>379</v>
      </c>
      <c r="N6" s="17">
        <f>Tabelle15638[[#This Row],[Anzahl Frames]]/Tabelle15638[[#This Row],[Aufnahmezeit '[s']]]</f>
        <v>12.5</v>
      </c>
      <c r="O6" s="17">
        <f>1/Tabelle15638[[#This Row],[Mean fps ]]</f>
        <v>0.08</v>
      </c>
      <c r="P6" s="17">
        <v>40</v>
      </c>
      <c r="Q6" s="20"/>
      <c r="R6" s="21"/>
      <c r="S6" s="17">
        <v>1.399</v>
      </c>
      <c r="T6" s="17">
        <v>1.0860000000000001</v>
      </c>
      <c r="U6" s="17">
        <v>1.9690000000000001</v>
      </c>
      <c r="V6" s="17"/>
      <c r="W6" s="17"/>
      <c r="X6" s="17"/>
      <c r="Y6" s="17"/>
      <c r="Z6" s="17" t="e" cm="1">
        <f t="array" ref="Z6">STABW</f>
        <v>#NAME?</v>
      </c>
      <c r="AA6" s="17"/>
      <c r="AB6" s="17"/>
      <c r="AC6" s="17"/>
      <c r="AD6" s="17"/>
      <c r="AE6" s="17"/>
      <c r="AF6" s="17"/>
      <c r="AG6" s="17" t="e">
        <f>1-Tabelle15638[[#This Row],[Mean Visc. 1 '[mPas']]]/#REF!</f>
        <v>#REF!</v>
      </c>
      <c r="AH6" s="17"/>
      <c r="AI6" s="17"/>
    </row>
    <row r="7" spans="1:35" ht="15" thickTop="1" x14ac:dyDescent="0.3">
      <c r="A7">
        <v>6</v>
      </c>
      <c r="B7" s="4"/>
      <c r="C7" s="5"/>
      <c r="D7" s="7">
        <v>1</v>
      </c>
      <c r="E7" t="s">
        <v>174</v>
      </c>
      <c r="F7" t="s">
        <v>172</v>
      </c>
      <c r="G7" s="7" t="s">
        <v>186</v>
      </c>
      <c r="H7" s="12">
        <v>46063</v>
      </c>
      <c r="I7" s="9" t="s">
        <v>12</v>
      </c>
      <c r="J7" s="7">
        <v>23.9</v>
      </c>
      <c r="K7" s="7">
        <v>28</v>
      </c>
      <c r="L7" s="7">
        <v>30.08</v>
      </c>
      <c r="M7" s="7">
        <v>376</v>
      </c>
      <c r="N7" s="7">
        <f>Tabelle15638[[#This Row],[Anzahl Frames]]/Tabelle15638[[#This Row],[Aufnahmezeit '[s']]]</f>
        <v>12.5</v>
      </c>
      <c r="O7" s="7">
        <f>1/Tabelle15638[[#This Row],[Mean fps ]]</f>
        <v>0.08</v>
      </c>
      <c r="P7" s="7">
        <v>40</v>
      </c>
      <c r="S7" s="7">
        <v>1.772</v>
      </c>
      <c r="T7" s="7">
        <v>1.2430000000000001</v>
      </c>
      <c r="U7" s="7">
        <v>1.843</v>
      </c>
      <c r="V7" s="7"/>
      <c r="W7" s="7"/>
      <c r="X7" s="7"/>
      <c r="Y7" s="7"/>
      <c r="Z7" s="7" t="e" cm="1">
        <f t="array" ref="Z7">STABW</f>
        <v>#NAME?</v>
      </c>
      <c r="AA7" s="7"/>
      <c r="AB7" s="7"/>
      <c r="AC7" s="7"/>
      <c r="AD7" s="7"/>
      <c r="AE7" s="7"/>
      <c r="AF7" s="7"/>
      <c r="AG7" s="7" t="e">
        <f>1-Tabelle15638[[#This Row],[Mean Visc. 1 '[mPas']]]/#REF!</f>
        <v>#REF!</v>
      </c>
      <c r="AH7" s="7"/>
      <c r="AI7" s="7"/>
    </row>
    <row r="8" spans="1:35" x14ac:dyDescent="0.3">
      <c r="A8">
        <v>7</v>
      </c>
      <c r="B8" s="4"/>
      <c r="C8" s="5"/>
      <c r="D8" s="7">
        <v>1</v>
      </c>
      <c r="E8" t="s">
        <v>174</v>
      </c>
      <c r="F8" t="s">
        <v>172</v>
      </c>
      <c r="G8" s="7" t="s">
        <v>186</v>
      </c>
      <c r="H8" s="12">
        <v>46063</v>
      </c>
      <c r="I8" s="9" t="s">
        <v>12</v>
      </c>
      <c r="J8" s="7">
        <v>24</v>
      </c>
      <c r="K8" s="7">
        <v>28</v>
      </c>
      <c r="L8" s="7">
        <v>29.36</v>
      </c>
      <c r="M8" s="7">
        <v>368</v>
      </c>
      <c r="N8" s="7">
        <f>Tabelle15638[[#This Row],[Anzahl Frames]]/Tabelle15638[[#This Row],[Aufnahmezeit '[s']]]</f>
        <v>12.534059945504087</v>
      </c>
      <c r="O8" s="7">
        <f>1/Tabelle15638[[#This Row],[Mean fps ]]</f>
        <v>7.978260869565218E-2</v>
      </c>
      <c r="P8" s="7">
        <v>40</v>
      </c>
      <c r="S8" s="7">
        <v>1.8480000000000001</v>
      </c>
      <c r="T8" s="7">
        <v>1.1679999999999999</v>
      </c>
      <c r="U8" s="7">
        <v>2.0680000000000001</v>
      </c>
      <c r="V8" s="7"/>
      <c r="W8" s="7"/>
      <c r="X8" s="7"/>
      <c r="Y8" s="7"/>
      <c r="Z8" s="7" t="e" cm="1">
        <f t="array" ref="Z8">STABW</f>
        <v>#NAME?</v>
      </c>
      <c r="AA8" s="7"/>
      <c r="AB8" s="7"/>
      <c r="AC8" s="7"/>
      <c r="AD8" s="7"/>
      <c r="AE8" s="7"/>
      <c r="AF8" s="7"/>
      <c r="AG8" s="7" t="e">
        <f>1-Tabelle15638[[#This Row],[Mean Visc. 1 '[mPas']]]/#REF!</f>
        <v>#REF!</v>
      </c>
      <c r="AH8" s="7"/>
      <c r="AI8" s="7"/>
    </row>
    <row r="9" spans="1:35" x14ac:dyDescent="0.3">
      <c r="A9">
        <v>8</v>
      </c>
      <c r="B9" s="4"/>
      <c r="C9" s="5"/>
      <c r="D9" s="7">
        <v>1</v>
      </c>
      <c r="E9" t="s">
        <v>174</v>
      </c>
      <c r="F9" t="s">
        <v>172</v>
      </c>
      <c r="G9" s="7" t="s">
        <v>186</v>
      </c>
      <c r="H9" s="12">
        <v>46063</v>
      </c>
      <c r="I9" s="9" t="s">
        <v>12</v>
      </c>
      <c r="J9" s="7">
        <v>24.1</v>
      </c>
      <c r="K9" s="7">
        <v>28</v>
      </c>
      <c r="L9" s="7">
        <v>30.16</v>
      </c>
      <c r="M9" s="7">
        <v>378</v>
      </c>
      <c r="N9" s="7">
        <f>Tabelle15638[[#This Row],[Anzahl Frames]]/Tabelle15638[[#This Row],[Aufnahmezeit '[s']]]</f>
        <v>12.53315649867374</v>
      </c>
      <c r="O9" s="7">
        <f>1/Tabelle15638[[#This Row],[Mean fps ]]</f>
        <v>7.9788359788359783E-2</v>
      </c>
      <c r="P9" s="7">
        <v>40</v>
      </c>
      <c r="S9" s="7">
        <v>1.669</v>
      </c>
      <c r="T9" s="7">
        <v>1.29</v>
      </c>
      <c r="U9" s="7">
        <v>1.845</v>
      </c>
      <c r="V9" s="7"/>
      <c r="W9" s="7"/>
      <c r="X9" s="7"/>
      <c r="Y9" s="7"/>
      <c r="Z9" s="7" t="e" cm="1">
        <f t="array" ref="Z9">STABW</f>
        <v>#NAME?</v>
      </c>
      <c r="AA9" s="7"/>
      <c r="AB9" s="7"/>
      <c r="AC9" s="7"/>
      <c r="AD9" s="7"/>
      <c r="AE9" s="7"/>
      <c r="AF9" s="7"/>
      <c r="AG9" s="7" t="e">
        <f>1-Tabelle15638[[#This Row],[Mean Visc. 1 '[mPas']]]/#REF!</f>
        <v>#REF!</v>
      </c>
      <c r="AH9" s="7"/>
      <c r="AI9" s="7"/>
    </row>
    <row r="10" spans="1:35" x14ac:dyDescent="0.3">
      <c r="A10">
        <v>9</v>
      </c>
      <c r="B10" s="4"/>
      <c r="C10" s="5"/>
      <c r="D10" s="7">
        <v>1</v>
      </c>
      <c r="E10" t="s">
        <v>174</v>
      </c>
      <c r="F10" t="s">
        <v>172</v>
      </c>
      <c r="G10" s="7" t="s">
        <v>186</v>
      </c>
      <c r="H10" s="12">
        <v>46063</v>
      </c>
      <c r="I10" s="9" t="s">
        <v>12</v>
      </c>
      <c r="J10" s="7">
        <v>24.2</v>
      </c>
      <c r="K10" s="7">
        <v>28</v>
      </c>
      <c r="L10" s="7">
        <v>31.03</v>
      </c>
      <c r="M10" s="7">
        <v>388</v>
      </c>
      <c r="N10" s="7">
        <f>Tabelle15638[[#This Row],[Anzahl Frames]]/Tabelle15638[[#This Row],[Aufnahmezeit '[s']]]</f>
        <v>12.504028359651949</v>
      </c>
      <c r="O10" s="7">
        <f>1/Tabelle15638[[#This Row],[Mean fps ]]</f>
        <v>7.9974226804123721E-2</v>
      </c>
      <c r="P10" s="7">
        <v>40</v>
      </c>
      <c r="S10" s="7">
        <v>1.5209999999999999</v>
      </c>
      <c r="T10" s="7">
        <v>1.0960000000000001</v>
      </c>
      <c r="U10" s="7">
        <v>2.117</v>
      </c>
      <c r="V10" s="7"/>
      <c r="W10" s="7"/>
      <c r="X10" s="7"/>
      <c r="Y10" s="7"/>
      <c r="Z10" s="7" t="e" cm="1">
        <f t="array" ref="Z10">STABW</f>
        <v>#NAME?</v>
      </c>
      <c r="AA10" s="7"/>
      <c r="AB10" s="7"/>
      <c r="AC10" s="7"/>
      <c r="AD10" s="7"/>
      <c r="AE10" s="7"/>
      <c r="AF10" s="7"/>
      <c r="AG10" s="7" t="e">
        <f>1-Tabelle15638[[#This Row],[Mean Visc. 1 '[mPas']]]/#REF!</f>
        <v>#REF!</v>
      </c>
      <c r="AH10" s="7"/>
      <c r="AI10" s="7"/>
    </row>
    <row r="11" spans="1:35" s="14" customFormat="1" ht="15" thickBot="1" x14ac:dyDescent="0.35">
      <c r="A11">
        <v>10</v>
      </c>
      <c r="B11" s="15"/>
      <c r="C11" s="16"/>
      <c r="D11" s="7">
        <v>1</v>
      </c>
      <c r="E11" t="s">
        <v>174</v>
      </c>
      <c r="F11" t="s">
        <v>172</v>
      </c>
      <c r="G11" s="7" t="s">
        <v>186</v>
      </c>
      <c r="H11" s="12">
        <v>46063</v>
      </c>
      <c r="I11" s="9" t="s">
        <v>12</v>
      </c>
      <c r="J11" s="17">
        <v>24.3</v>
      </c>
      <c r="K11" s="17">
        <v>28</v>
      </c>
      <c r="L11" s="17">
        <v>30.48</v>
      </c>
      <c r="M11" s="17">
        <v>382</v>
      </c>
      <c r="N11" s="17">
        <f>Tabelle15638[[#This Row],[Anzahl Frames]]/Tabelle15638[[#This Row],[Aufnahmezeit '[s']]]</f>
        <v>12.532808398950131</v>
      </c>
      <c r="O11" s="17">
        <f>1/Tabelle15638[[#This Row],[Mean fps ]]</f>
        <v>7.9790575916230372E-2</v>
      </c>
      <c r="P11" s="17">
        <v>40</v>
      </c>
      <c r="Q11" s="20"/>
      <c r="R11" s="21"/>
      <c r="S11" s="17">
        <v>1.59</v>
      </c>
      <c r="T11" s="17">
        <v>1.282</v>
      </c>
      <c r="U11" s="17">
        <v>2.0049999999999999</v>
      </c>
      <c r="V11" s="17"/>
      <c r="W11" s="7">
        <f>SUM(S2:S11)/10</f>
        <v>1.5492000000000001</v>
      </c>
      <c r="X11" s="7">
        <f t="shared" ref="X11:Y11" si="0">SUM(T2:T11)/10</f>
        <v>1.1474</v>
      </c>
      <c r="Y11" s="7">
        <f t="shared" si="0"/>
        <v>1.9159999999999999</v>
      </c>
      <c r="Z11" s="17">
        <f>_xlfn.STDEV.S(S2:S11)</f>
        <v>0.17842695361905803</v>
      </c>
      <c r="AA11" s="17">
        <f t="shared" ref="AA11:AB11" si="1">_xlfn.STDEV.S(T2:T11)</f>
        <v>9.3539296554977377E-2</v>
      </c>
      <c r="AB11" s="17">
        <f t="shared" si="1"/>
        <v>0.14451220632797004</v>
      </c>
      <c r="AC11" s="17">
        <f>Tabelle15638[[#This Row],[Standardabweichung 1]]/Tabelle15638[[#This Row],[Mean Visc. 1 '[mPas']]]</f>
        <v>0.11517360806807256</v>
      </c>
      <c r="AD11" s="17">
        <f>Tabelle15638[[#This Row],[Standardabweichung 2]]/Tabelle15638[[#This Row],[Mean Visc. 2 '[mPas']2]]</f>
        <v>8.1522831231460147E-2</v>
      </c>
      <c r="AE11" s="17">
        <f>Tabelle15638[[#This Row],[Standardabweichung 3]]/Tabelle15638[[#This Row],[Mean Visc. 3 '[mPas']3]]</f>
        <v>7.5423907269295432E-2</v>
      </c>
      <c r="AF11" s="17"/>
      <c r="AG11" s="17" t="e">
        <f>1-Tabelle15638[[#This Row],[Mean Visc. 1 '[mPas']]]/#REF!</f>
        <v>#REF!</v>
      </c>
      <c r="AH11" s="17"/>
      <c r="AI11" s="17"/>
    </row>
    <row r="12" spans="1:35" ht="15" thickTop="1" x14ac:dyDescent="0.3">
      <c r="A12">
        <v>11</v>
      </c>
      <c r="B12" s="4"/>
      <c r="C12" s="5"/>
      <c r="D12" s="7">
        <v>1</v>
      </c>
      <c r="E12" t="s">
        <v>174</v>
      </c>
      <c r="F12" t="s">
        <v>172</v>
      </c>
      <c r="G12" s="7" t="s">
        <v>187</v>
      </c>
      <c r="H12" s="12">
        <v>46063</v>
      </c>
      <c r="I12" s="9" t="s">
        <v>12</v>
      </c>
      <c r="J12" s="7">
        <v>24.4</v>
      </c>
      <c r="K12" s="7">
        <v>28</v>
      </c>
      <c r="L12" s="7">
        <v>30.56</v>
      </c>
      <c r="M12" s="7">
        <v>383</v>
      </c>
      <c r="N12" s="7">
        <f>Tabelle15638[[#This Row],[Anzahl Frames]]/Tabelle15638[[#This Row],[Aufnahmezeit '[s']]]</f>
        <v>12.532722513089006</v>
      </c>
      <c r="O12" s="7">
        <f>1/Tabelle15638[[#This Row],[Mean fps ]]</f>
        <v>7.97911227154047E-2</v>
      </c>
      <c r="P12" s="7">
        <v>40</v>
      </c>
      <c r="S12" s="7">
        <v>1.9330000000000001</v>
      </c>
      <c r="T12" s="7">
        <v>1.1319999999999999</v>
      </c>
      <c r="U12" s="7">
        <v>2.2570000000000001</v>
      </c>
      <c r="V12" s="7"/>
      <c r="W12" s="7"/>
      <c r="X12" s="7"/>
      <c r="Y12" s="7"/>
      <c r="Z12" s="7" t="e" cm="1">
        <f t="array" ref="Z12">STABW</f>
        <v>#NAME?</v>
      </c>
      <c r="AA12" s="7"/>
      <c r="AB12" s="7"/>
      <c r="AC12" s="7"/>
      <c r="AD12" s="7"/>
      <c r="AE12" s="7"/>
      <c r="AF12" s="7"/>
      <c r="AG12" s="7" t="e">
        <f>1-Tabelle15638[[#This Row],[Mean Visc. 1 '[mPas']]]/#REF!</f>
        <v>#REF!</v>
      </c>
      <c r="AH12" s="7"/>
      <c r="AI12" s="7"/>
    </row>
    <row r="13" spans="1:35" x14ac:dyDescent="0.3">
      <c r="A13">
        <v>12</v>
      </c>
      <c r="B13" s="4"/>
      <c r="C13" s="5"/>
      <c r="D13" s="7">
        <v>1</v>
      </c>
      <c r="E13" t="s">
        <v>174</v>
      </c>
      <c r="F13" t="s">
        <v>172</v>
      </c>
      <c r="G13" s="7" t="s">
        <v>187</v>
      </c>
      <c r="H13" s="12">
        <v>46063</v>
      </c>
      <c r="I13" s="9" t="s">
        <v>12</v>
      </c>
      <c r="J13" s="7">
        <v>24.5</v>
      </c>
      <c r="K13" s="7">
        <v>28</v>
      </c>
      <c r="L13" s="7">
        <v>30.42</v>
      </c>
      <c r="M13" s="7">
        <v>380</v>
      </c>
      <c r="N13" s="7">
        <f>Tabelle15638[[#This Row],[Anzahl Frames]]/Tabelle15638[[#This Row],[Aufnahmezeit '[s']]]</f>
        <v>12.491781722550952</v>
      </c>
      <c r="O13" s="7">
        <f>1/Tabelle15638[[#This Row],[Mean fps ]]</f>
        <v>8.0052631578947375E-2</v>
      </c>
      <c r="P13" s="7">
        <v>40</v>
      </c>
      <c r="S13" s="7">
        <v>1.7689999999999999</v>
      </c>
      <c r="T13" s="7">
        <v>1.242</v>
      </c>
      <c r="U13" s="7">
        <v>2.02</v>
      </c>
      <c r="V13" s="7"/>
      <c r="W13" s="7"/>
      <c r="X13" s="7"/>
      <c r="Y13" s="7"/>
      <c r="Z13" s="7" t="e" cm="1">
        <f t="array" ref="Z13">STABW</f>
        <v>#NAME?</v>
      </c>
      <c r="AA13" s="7"/>
      <c r="AB13" s="7"/>
      <c r="AC13" s="7"/>
      <c r="AD13" s="7"/>
      <c r="AE13" s="7"/>
      <c r="AF13" s="7"/>
      <c r="AG13" s="7" t="e">
        <f>1-Tabelle15638[[#This Row],[Mean Visc. 1 '[mPas']]]/#REF!</f>
        <v>#REF!</v>
      </c>
      <c r="AH13" s="7"/>
      <c r="AI13" s="7"/>
    </row>
    <row r="14" spans="1:35" x14ac:dyDescent="0.3">
      <c r="A14">
        <v>13</v>
      </c>
      <c r="B14" s="4"/>
      <c r="C14" s="5"/>
      <c r="D14" s="7">
        <v>1</v>
      </c>
      <c r="E14" t="s">
        <v>174</v>
      </c>
      <c r="F14" t="s">
        <v>172</v>
      </c>
      <c r="G14" s="7" t="s">
        <v>187</v>
      </c>
      <c r="H14" s="12">
        <v>46063</v>
      </c>
      <c r="I14" s="9" t="s">
        <v>12</v>
      </c>
      <c r="J14" s="7">
        <v>24.5</v>
      </c>
      <c r="K14" s="7">
        <v>28</v>
      </c>
      <c r="L14" s="7">
        <v>30.64</v>
      </c>
      <c r="M14" s="7">
        <v>383</v>
      </c>
      <c r="N14" s="7">
        <f>Tabelle15638[[#This Row],[Anzahl Frames]]/Tabelle15638[[#This Row],[Aufnahmezeit '[s']]]</f>
        <v>12.5</v>
      </c>
      <c r="O14" s="7">
        <f>1/Tabelle15638[[#This Row],[Mean fps ]]</f>
        <v>0.08</v>
      </c>
      <c r="P14" s="7">
        <v>40</v>
      </c>
      <c r="S14" s="7">
        <v>1.952</v>
      </c>
      <c r="T14" s="7">
        <v>1.383</v>
      </c>
      <c r="U14" s="7">
        <v>2.129</v>
      </c>
      <c r="V14" s="7"/>
      <c r="W14" s="7"/>
      <c r="X14" s="7"/>
      <c r="Y14" s="7"/>
      <c r="Z14" s="7" t="e" cm="1">
        <f t="array" ref="Z14">STABW</f>
        <v>#NAME?</v>
      </c>
      <c r="AA14" s="7"/>
      <c r="AB14" s="7"/>
      <c r="AC14" s="7"/>
      <c r="AD14" s="7"/>
      <c r="AE14" s="7"/>
      <c r="AF14" s="7"/>
      <c r="AG14" s="7" t="e">
        <f>1-Tabelle15638[[#This Row],[Mean Visc. 1 '[mPas']]]/#REF!</f>
        <v>#REF!</v>
      </c>
      <c r="AH14" s="7"/>
      <c r="AI14" s="7"/>
    </row>
    <row r="15" spans="1:35" x14ac:dyDescent="0.3">
      <c r="A15">
        <v>14</v>
      </c>
      <c r="B15" s="4"/>
      <c r="C15" s="5"/>
      <c r="D15" s="7">
        <v>1</v>
      </c>
      <c r="E15" t="s">
        <v>174</v>
      </c>
      <c r="F15" t="s">
        <v>172</v>
      </c>
      <c r="G15" s="7" t="s">
        <v>187</v>
      </c>
      <c r="H15" s="12">
        <v>46063</v>
      </c>
      <c r="I15" s="9" t="s">
        <v>12</v>
      </c>
      <c r="J15" s="7">
        <v>24.6</v>
      </c>
      <c r="K15" s="7">
        <v>28</v>
      </c>
      <c r="L15" s="7">
        <v>30.32</v>
      </c>
      <c r="M15" s="7">
        <v>379</v>
      </c>
      <c r="N15" s="7">
        <f>Tabelle15638[[#This Row],[Anzahl Frames]]/Tabelle15638[[#This Row],[Aufnahmezeit '[s']]]</f>
        <v>12.5</v>
      </c>
      <c r="O15" s="7">
        <f>1/Tabelle15638[[#This Row],[Mean fps ]]</f>
        <v>0.08</v>
      </c>
      <c r="P15" s="7">
        <v>40</v>
      </c>
      <c r="S15" s="7">
        <v>1.804</v>
      </c>
      <c r="T15" s="7">
        <v>1.359</v>
      </c>
      <c r="U15" s="7">
        <v>2.1339999999999999</v>
      </c>
      <c r="V15" s="7"/>
      <c r="W15" s="7"/>
      <c r="X15" s="7"/>
      <c r="Y15" s="7"/>
      <c r="Z15" s="7" t="e" cm="1">
        <f t="array" ref="Z15">STABW</f>
        <v>#NAME?</v>
      </c>
      <c r="AA15" s="7"/>
      <c r="AB15" s="7"/>
      <c r="AC15" s="7"/>
      <c r="AD15" s="7"/>
      <c r="AE15" s="7"/>
      <c r="AF15" s="7"/>
      <c r="AG15" s="7" t="e">
        <f>1-Tabelle15638[[#This Row],[Mean Visc. 1 '[mPas']]]/#REF!</f>
        <v>#REF!</v>
      </c>
      <c r="AH15" s="7"/>
      <c r="AI15" s="7"/>
    </row>
    <row r="16" spans="1:35" s="14" customFormat="1" ht="15" thickBot="1" x14ac:dyDescent="0.35">
      <c r="A16">
        <v>15</v>
      </c>
      <c r="B16" s="15"/>
      <c r="C16" s="16"/>
      <c r="D16" s="7">
        <v>1</v>
      </c>
      <c r="E16" t="s">
        <v>174</v>
      </c>
      <c r="F16" t="s">
        <v>172</v>
      </c>
      <c r="G16" s="7" t="s">
        <v>187</v>
      </c>
      <c r="H16" s="12">
        <v>46063</v>
      </c>
      <c r="I16" s="9" t="s">
        <v>12</v>
      </c>
      <c r="J16" s="17">
        <v>24.6</v>
      </c>
      <c r="K16" s="17">
        <v>28</v>
      </c>
      <c r="L16" s="17">
        <v>29.84</v>
      </c>
      <c r="M16" s="17">
        <v>374</v>
      </c>
      <c r="N16" s="17">
        <f>Tabelle15638[[#This Row],[Anzahl Frames]]/Tabelle15638[[#This Row],[Aufnahmezeit '[s']]]</f>
        <v>12.533512064343164</v>
      </c>
      <c r="O16" s="17">
        <f>1/Tabelle15638[[#This Row],[Mean fps ]]</f>
        <v>7.9786096256684494E-2</v>
      </c>
      <c r="P16" s="17">
        <v>40</v>
      </c>
      <c r="Q16" s="20"/>
      <c r="R16" s="21"/>
      <c r="S16" s="17">
        <v>1.71</v>
      </c>
      <c r="T16" s="17">
        <v>1.3140000000000001</v>
      </c>
      <c r="U16" s="17">
        <v>1.881</v>
      </c>
      <c r="V16" s="17"/>
      <c r="W16" s="17"/>
      <c r="X16" s="17"/>
      <c r="Y16" s="17"/>
      <c r="Z16" s="17" t="e" cm="1">
        <f t="array" ref="Z16">STABW</f>
        <v>#NAME?</v>
      </c>
      <c r="AA16" s="17"/>
      <c r="AB16" s="17"/>
      <c r="AC16" s="17"/>
      <c r="AD16" s="17"/>
      <c r="AE16" s="17"/>
      <c r="AF16" s="17"/>
      <c r="AG16" s="17" t="e">
        <f>1-Tabelle15638[[#This Row],[Mean Visc. 1 '[mPas']]]/#REF!</f>
        <v>#REF!</v>
      </c>
      <c r="AH16" s="17"/>
      <c r="AI16" s="17"/>
    </row>
    <row r="17" spans="1:35" ht="15" thickTop="1" x14ac:dyDescent="0.3">
      <c r="A17">
        <v>16</v>
      </c>
      <c r="B17" s="4"/>
      <c r="C17" s="5"/>
      <c r="D17" s="7">
        <v>1</v>
      </c>
      <c r="E17" t="s">
        <v>174</v>
      </c>
      <c r="F17" t="s">
        <v>172</v>
      </c>
      <c r="G17" s="7" t="s">
        <v>187</v>
      </c>
      <c r="H17" s="12">
        <v>46063</v>
      </c>
      <c r="I17" s="9" t="s">
        <v>12</v>
      </c>
      <c r="J17" s="7">
        <v>24.7</v>
      </c>
      <c r="K17" s="7">
        <v>28</v>
      </c>
      <c r="L17" s="7">
        <v>31.81</v>
      </c>
      <c r="M17" s="7">
        <v>397</v>
      </c>
      <c r="N17" s="7">
        <f>Tabelle15638[[#This Row],[Anzahl Frames]]/Tabelle15638[[#This Row],[Aufnahmezeit '[s']]]</f>
        <v>12.480352090537567</v>
      </c>
      <c r="O17" s="7">
        <f>1/Tabelle15638[[#This Row],[Mean fps ]]</f>
        <v>8.0125944584382866E-2</v>
      </c>
      <c r="P17" s="7">
        <v>40</v>
      </c>
      <c r="S17" s="7">
        <v>1.8460000000000001</v>
      </c>
      <c r="T17" s="7">
        <v>1.341</v>
      </c>
      <c r="U17" s="7">
        <v>2.2240000000000002</v>
      </c>
      <c r="V17" s="7"/>
      <c r="W17" s="7"/>
      <c r="X17" s="7"/>
      <c r="Y17" s="7"/>
      <c r="Z17" s="7" t="e" cm="1">
        <f t="array" ref="Z17">STABW</f>
        <v>#NAME?</v>
      </c>
      <c r="AA17" s="7"/>
      <c r="AB17" s="7"/>
      <c r="AC17" s="7"/>
      <c r="AD17" s="7"/>
      <c r="AE17" s="7"/>
      <c r="AF17" s="7"/>
      <c r="AG17" s="7" t="e">
        <f>1-Tabelle15638[[#This Row],[Mean Visc. 1 '[mPas']]]/#REF!</f>
        <v>#REF!</v>
      </c>
      <c r="AH17" s="7"/>
      <c r="AI17" s="7"/>
    </row>
    <row r="18" spans="1:35" x14ac:dyDescent="0.3">
      <c r="A18">
        <v>17</v>
      </c>
      <c r="B18" s="4"/>
      <c r="C18" s="5"/>
      <c r="D18" s="7">
        <v>1</v>
      </c>
      <c r="E18" t="s">
        <v>174</v>
      </c>
      <c r="F18" t="s">
        <v>172</v>
      </c>
      <c r="G18" s="7" t="s">
        <v>187</v>
      </c>
      <c r="H18" s="12">
        <v>46063</v>
      </c>
      <c r="I18" s="9" t="s">
        <v>12</v>
      </c>
      <c r="J18" s="7">
        <v>24.9</v>
      </c>
      <c r="K18" s="7">
        <v>28</v>
      </c>
      <c r="L18" s="7">
        <v>30.4</v>
      </c>
      <c r="M18" s="7">
        <v>381</v>
      </c>
      <c r="N18" s="7">
        <f>Tabelle15638[[#This Row],[Anzahl Frames]]/Tabelle15638[[#This Row],[Aufnahmezeit '[s']]]</f>
        <v>12.532894736842106</v>
      </c>
      <c r="O18" s="7">
        <f>1/Tabelle15638[[#This Row],[Mean fps ]]</f>
        <v>7.9790026246719159E-2</v>
      </c>
      <c r="P18" s="7">
        <v>40</v>
      </c>
      <c r="S18" s="7">
        <v>1.871</v>
      </c>
      <c r="T18" s="7">
        <v>1.331</v>
      </c>
      <c r="U18" s="7">
        <v>2.31</v>
      </c>
      <c r="V18" s="7"/>
      <c r="W18" s="7"/>
      <c r="X18" s="7"/>
      <c r="Y18" s="7"/>
      <c r="Z18" s="7" t="e" cm="1">
        <f t="array" ref="Z18">STABW</f>
        <v>#NAME?</v>
      </c>
      <c r="AA18" s="7"/>
      <c r="AB18" s="7"/>
      <c r="AC18" s="7"/>
      <c r="AD18" s="7"/>
      <c r="AE18" s="7"/>
      <c r="AF18" s="7"/>
      <c r="AG18" s="7" t="e">
        <f>1-Tabelle15638[[#This Row],[Mean Visc. 1 '[mPas']]]/#REF!</f>
        <v>#REF!</v>
      </c>
      <c r="AH18" s="7"/>
      <c r="AI18" s="7"/>
    </row>
    <row r="19" spans="1:35" x14ac:dyDescent="0.3">
      <c r="A19">
        <v>18</v>
      </c>
      <c r="B19" s="4"/>
      <c r="C19" s="5"/>
      <c r="D19" s="7">
        <v>1</v>
      </c>
      <c r="E19" t="s">
        <v>174</v>
      </c>
      <c r="F19" t="s">
        <v>172</v>
      </c>
      <c r="G19" s="7" t="s">
        <v>187</v>
      </c>
      <c r="H19" s="12">
        <v>46063</v>
      </c>
      <c r="I19" s="9" t="s">
        <v>12</v>
      </c>
      <c r="J19" s="7">
        <v>24.9</v>
      </c>
      <c r="K19" s="7">
        <v>28</v>
      </c>
      <c r="L19" s="7">
        <v>33.119999999999997</v>
      </c>
      <c r="M19" s="7">
        <v>414</v>
      </c>
      <c r="N19" s="7">
        <f>Tabelle15638[[#This Row],[Anzahl Frames]]/Tabelle15638[[#This Row],[Aufnahmezeit '[s']]]</f>
        <v>12.500000000000002</v>
      </c>
      <c r="O19" s="7">
        <f>1/Tabelle15638[[#This Row],[Mean fps ]]</f>
        <v>7.9999999999999988E-2</v>
      </c>
      <c r="P19" s="7">
        <v>40</v>
      </c>
      <c r="S19" s="7">
        <v>1.83</v>
      </c>
      <c r="T19" s="7">
        <v>1.2909999999999999</v>
      </c>
      <c r="U19" s="7">
        <v>2.2250000000000001</v>
      </c>
      <c r="V19" s="7"/>
      <c r="W19" s="7"/>
      <c r="X19" s="7"/>
      <c r="Y19" s="7"/>
      <c r="Z19" s="7" t="e" cm="1">
        <f t="array" ref="Z19">STABW</f>
        <v>#NAME?</v>
      </c>
      <c r="AA19" s="7"/>
      <c r="AB19" s="7"/>
      <c r="AC19" s="7"/>
      <c r="AD19" s="7"/>
      <c r="AE19" s="7"/>
      <c r="AF19" s="7"/>
      <c r="AG19" s="7" t="e">
        <f>1-Tabelle15638[[#This Row],[Mean Visc. 1 '[mPas']]]/#REF!</f>
        <v>#REF!</v>
      </c>
      <c r="AH19" s="7"/>
      <c r="AI19" s="7"/>
    </row>
    <row r="20" spans="1:35" x14ac:dyDescent="0.3">
      <c r="A20">
        <v>19</v>
      </c>
      <c r="B20" s="4"/>
      <c r="C20" s="5"/>
      <c r="D20" s="7">
        <v>1</v>
      </c>
      <c r="E20" t="s">
        <v>174</v>
      </c>
      <c r="F20" t="s">
        <v>172</v>
      </c>
      <c r="G20" s="7" t="s">
        <v>187</v>
      </c>
      <c r="H20" s="12">
        <v>46063</v>
      </c>
      <c r="I20" s="9" t="s">
        <v>12</v>
      </c>
      <c r="J20" s="7">
        <v>25</v>
      </c>
      <c r="K20" s="7">
        <v>28</v>
      </c>
      <c r="L20" s="7">
        <v>30.48</v>
      </c>
      <c r="M20" s="7">
        <v>382</v>
      </c>
      <c r="N20" s="7">
        <f>Tabelle15638[[#This Row],[Anzahl Frames]]/Tabelle15638[[#This Row],[Aufnahmezeit '[s']]]</f>
        <v>12.532808398950131</v>
      </c>
      <c r="O20" s="7">
        <f>1/Tabelle15638[[#This Row],[Mean fps ]]</f>
        <v>7.9790575916230372E-2</v>
      </c>
      <c r="P20" s="7">
        <v>40</v>
      </c>
      <c r="S20" s="7">
        <v>1.96</v>
      </c>
      <c r="T20" s="7">
        <v>1.3009999999999999</v>
      </c>
      <c r="U20" s="7">
        <v>2.427</v>
      </c>
      <c r="V20" s="7"/>
      <c r="W20" s="7"/>
      <c r="X20" s="7"/>
      <c r="Y20" s="7"/>
      <c r="Z20" s="7" t="e" cm="1">
        <f t="array" ref="Z20">STABW</f>
        <v>#NAME?</v>
      </c>
      <c r="AA20" s="7"/>
      <c r="AB20" s="7"/>
      <c r="AC20" s="7"/>
      <c r="AD20" s="7"/>
      <c r="AE20" s="7"/>
      <c r="AF20" s="7"/>
      <c r="AG20" s="7" t="e">
        <f>1-Tabelle15638[[#This Row],[Mean Visc. 1 '[mPas']]]/#REF!</f>
        <v>#REF!</v>
      </c>
      <c r="AH20" s="7"/>
      <c r="AI20" s="7"/>
    </row>
    <row r="21" spans="1:35" s="14" customFormat="1" ht="15" thickBot="1" x14ac:dyDescent="0.35">
      <c r="A21">
        <v>20</v>
      </c>
      <c r="B21" s="15"/>
      <c r="C21" s="16"/>
      <c r="D21" s="7">
        <v>1</v>
      </c>
      <c r="E21" t="s">
        <v>174</v>
      </c>
      <c r="F21" t="s">
        <v>172</v>
      </c>
      <c r="G21" s="7" t="s">
        <v>187</v>
      </c>
      <c r="H21" s="12">
        <v>46063</v>
      </c>
      <c r="I21" s="9" t="s">
        <v>12</v>
      </c>
      <c r="J21" s="17">
        <v>25</v>
      </c>
      <c r="K21" s="17">
        <v>28</v>
      </c>
      <c r="L21" s="17">
        <v>30.88</v>
      </c>
      <c r="M21" s="17">
        <v>386</v>
      </c>
      <c r="N21" s="17">
        <f>Tabelle15638[[#This Row],[Anzahl Frames]]/Tabelle15638[[#This Row],[Aufnahmezeit '[s']]]</f>
        <v>12.5</v>
      </c>
      <c r="O21" s="17">
        <f>1/Tabelle15638[[#This Row],[Mean fps ]]</f>
        <v>0.08</v>
      </c>
      <c r="P21" s="17">
        <v>40</v>
      </c>
      <c r="Q21" s="20"/>
      <c r="R21" s="21"/>
      <c r="S21" s="17">
        <v>1.5640000000000001</v>
      </c>
      <c r="T21" s="17">
        <v>1.248</v>
      </c>
      <c r="U21" s="17">
        <v>1.929</v>
      </c>
      <c r="V21" s="17"/>
      <c r="W21" s="7">
        <f>SUM(S12:S21)/10</f>
        <v>1.8239000000000001</v>
      </c>
      <c r="X21" s="7">
        <f t="shared" ref="X21:Y21" si="2">SUM(T12:T21)/10</f>
        <v>1.2942</v>
      </c>
      <c r="Y21" s="7">
        <f t="shared" si="2"/>
        <v>2.1536</v>
      </c>
      <c r="Z21" s="17">
        <f>_xlfn.STDEV.S(S12:S21)</f>
        <v>0.1217971446481585</v>
      </c>
      <c r="AA21" s="17">
        <f t="shared" ref="AA21:AB21" si="3">_xlfn.STDEV.S(T12:T21)</f>
        <v>7.2453509998557791E-2</v>
      </c>
      <c r="AB21" s="17">
        <f t="shared" si="3"/>
        <v>0.17112321746494707</v>
      </c>
      <c r="AC21" s="17">
        <f>Tabelle15638[[#This Row],[Standardabweichung 1]]/Tabelle15638[[#This Row],[Mean Visc. 1 '[mPas']]]</f>
        <v>6.6778411452469155E-2</v>
      </c>
      <c r="AD21" s="17">
        <f>Tabelle15638[[#This Row],[Standardabweichung 2]]/Tabelle15638[[#This Row],[Mean Visc. 2 '[mPas']2]]</f>
        <v>5.5983240610846696E-2</v>
      </c>
      <c r="AE21" s="17">
        <f>Tabelle15638[[#This Row],[Standardabweichung 3]]/Tabelle15638[[#This Row],[Mean Visc. 3 '[mPas']3]]</f>
        <v>7.9459146296873645E-2</v>
      </c>
      <c r="AF21" s="17"/>
      <c r="AG21" s="17" t="e">
        <f>1-Tabelle15638[[#This Row],[Mean Visc. 1 '[mPas']]]/#REF!</f>
        <v>#REF!</v>
      </c>
      <c r="AH21" s="17"/>
      <c r="AI21" s="17"/>
    </row>
    <row r="22" spans="1:35" ht="15" thickTop="1" x14ac:dyDescent="0.3">
      <c r="A22">
        <v>21</v>
      </c>
      <c r="B22" s="4"/>
      <c r="C22" s="5"/>
      <c r="D22" s="7">
        <v>1</v>
      </c>
      <c r="E22" t="s">
        <v>174</v>
      </c>
      <c r="F22" t="s">
        <v>172</v>
      </c>
      <c r="G22" s="7" t="s">
        <v>188</v>
      </c>
      <c r="H22" s="12">
        <v>46063</v>
      </c>
      <c r="I22" s="9" t="s">
        <v>12</v>
      </c>
      <c r="J22" s="7">
        <v>25</v>
      </c>
      <c r="K22" s="7">
        <v>27</v>
      </c>
      <c r="L22" s="7">
        <v>32.86</v>
      </c>
      <c r="M22" s="7">
        <v>410</v>
      </c>
      <c r="N22" s="7">
        <f>Tabelle15638[[#This Row],[Anzahl Frames]]/Tabelle15638[[#This Row],[Aufnahmezeit '[s']]]</f>
        <v>12.477175897748022</v>
      </c>
      <c r="O22" s="7">
        <f>1/Tabelle15638[[#This Row],[Mean fps ]]</f>
        <v>8.0146341463414636E-2</v>
      </c>
      <c r="P22" s="7">
        <v>40</v>
      </c>
      <c r="S22" s="7">
        <v>0.82799999999999996</v>
      </c>
      <c r="T22" s="7">
        <v>0.68200000000000005</v>
      </c>
      <c r="U22" s="7">
        <v>1.2549999999999999</v>
      </c>
      <c r="V22" s="7"/>
      <c r="W22" s="7"/>
      <c r="X22" s="7"/>
      <c r="Y22" s="7"/>
      <c r="Z22" s="7" t="e" cm="1">
        <f t="array" ref="Z22">STABW</f>
        <v>#NAME?</v>
      </c>
      <c r="AA22" s="7"/>
      <c r="AB22" s="7"/>
      <c r="AC22" s="7" t="e">
        <f>Tabelle15638[[#This Row],[Standardabweichung 1]]/Tabelle15638[[#This Row],[Mean Visc. 1 '[mPas']]]</f>
        <v>#NAME?</v>
      </c>
      <c r="AD22" s="7" t="e">
        <f>Tabelle156[[#This Row],[Standardabweichung 2]]/Tabelle156[[#This Row],[Mean Visc. 2 '[mPas']2]]</f>
        <v>#DIV/0!</v>
      </c>
      <c r="AE22" s="7" t="e">
        <f>Tabelle156[[#This Row],[Standardabweichung 3]]/Tabelle156[[#This Row],[Mean Visc. 3 '[mPas']3]]</f>
        <v>#DIV/0!</v>
      </c>
      <c r="AF22" s="7"/>
      <c r="AG22" s="7" t="e">
        <f>1-Tabelle15638[[#This Row],[Mean Visc. 1 '[mPas']]]/#REF!</f>
        <v>#REF!</v>
      </c>
      <c r="AH22" s="7"/>
      <c r="AI22" s="7"/>
    </row>
    <row r="23" spans="1:35" x14ac:dyDescent="0.3">
      <c r="A23">
        <v>22</v>
      </c>
      <c r="B23" s="4"/>
      <c r="C23" s="5"/>
      <c r="D23" s="7">
        <v>1</v>
      </c>
      <c r="E23" t="s">
        <v>174</v>
      </c>
      <c r="F23" t="s">
        <v>172</v>
      </c>
      <c r="G23" s="7" t="s">
        <v>188</v>
      </c>
      <c r="H23" s="12">
        <v>46063</v>
      </c>
      <c r="I23" s="9" t="s">
        <v>12</v>
      </c>
      <c r="J23" s="7">
        <v>25.1</v>
      </c>
      <c r="K23" s="7">
        <v>25</v>
      </c>
      <c r="L23" s="7">
        <v>30.32</v>
      </c>
      <c r="M23" s="7">
        <v>379</v>
      </c>
      <c r="N23" s="7">
        <f>Tabelle15638[[#This Row],[Anzahl Frames]]/Tabelle15638[[#This Row],[Aufnahmezeit '[s']]]</f>
        <v>12.5</v>
      </c>
      <c r="O23" s="7">
        <f>1/Tabelle15638[[#This Row],[Mean fps ]]</f>
        <v>0.08</v>
      </c>
      <c r="P23" s="7">
        <v>40</v>
      </c>
      <c r="S23" s="7">
        <v>0.89200000000000002</v>
      </c>
      <c r="T23" s="7">
        <v>0.68300000000000005</v>
      </c>
      <c r="U23" s="7">
        <v>1.3220000000000001</v>
      </c>
      <c r="V23" s="7"/>
      <c r="W23" s="7"/>
      <c r="X23" s="7"/>
      <c r="Y23" s="7"/>
      <c r="Z23" s="7" t="e" cm="1">
        <f t="array" ref="Z23">STABW</f>
        <v>#NAME?</v>
      </c>
      <c r="AA23" s="7"/>
      <c r="AB23" s="7"/>
      <c r="AC23" s="7" t="e">
        <f>Tabelle15638[[#This Row],[Standardabweichung 1]]/Tabelle15638[[#This Row],[Mean Visc. 1 '[mPas']]]</f>
        <v>#NAME?</v>
      </c>
      <c r="AD23" s="7" t="e">
        <f>Tabelle156[[#This Row],[Standardabweichung 2]]/Tabelle156[[#This Row],[Mean Visc. 2 '[mPas']2]]</f>
        <v>#DIV/0!</v>
      </c>
      <c r="AE23" s="7" t="e">
        <f>Tabelle156[[#This Row],[Standardabweichung 3]]/Tabelle156[[#This Row],[Mean Visc. 3 '[mPas']3]]</f>
        <v>#DIV/0!</v>
      </c>
      <c r="AF23" s="7"/>
      <c r="AG23" s="7" t="e">
        <f>1-Tabelle15638[[#This Row],[Mean Visc. 1 '[mPas']]]/#REF!</f>
        <v>#REF!</v>
      </c>
      <c r="AH23" s="7"/>
      <c r="AI23" s="7"/>
    </row>
    <row r="24" spans="1:35" x14ac:dyDescent="0.3">
      <c r="A24">
        <v>23</v>
      </c>
      <c r="B24" s="4"/>
      <c r="C24" s="5"/>
      <c r="D24" s="7">
        <v>1</v>
      </c>
      <c r="E24" t="s">
        <v>174</v>
      </c>
      <c r="F24" t="s">
        <v>172</v>
      </c>
      <c r="G24" s="7" t="s">
        <v>188</v>
      </c>
      <c r="H24" s="12">
        <v>46063</v>
      </c>
      <c r="I24" s="9" t="s">
        <v>12</v>
      </c>
      <c r="J24" s="7">
        <v>25.1</v>
      </c>
      <c r="K24" s="7">
        <v>25</v>
      </c>
      <c r="L24" s="7">
        <v>31.2</v>
      </c>
      <c r="M24" s="7">
        <v>390</v>
      </c>
      <c r="N24" s="7">
        <f>Tabelle15638[[#This Row],[Anzahl Frames]]/Tabelle15638[[#This Row],[Aufnahmezeit '[s']]]</f>
        <v>12.5</v>
      </c>
      <c r="O24" s="7">
        <f>1/Tabelle15638[[#This Row],[Mean fps ]]</f>
        <v>0.08</v>
      </c>
      <c r="P24" s="7">
        <v>40</v>
      </c>
      <c r="S24" s="7">
        <v>0.79200000000000004</v>
      </c>
      <c r="T24" s="7">
        <v>0.67800000000000005</v>
      </c>
      <c r="U24" s="7">
        <v>1.27</v>
      </c>
      <c r="V24" s="7"/>
      <c r="W24" s="7"/>
      <c r="X24" s="7"/>
      <c r="Y24" s="7"/>
      <c r="Z24" s="7" t="e" cm="1">
        <f t="array" ref="Z24">STABW</f>
        <v>#NAME?</v>
      </c>
      <c r="AA24" s="7"/>
      <c r="AB24" s="7"/>
      <c r="AC24" s="7" t="e">
        <f>Tabelle15638[[#This Row],[Standardabweichung 1]]/Tabelle15638[[#This Row],[Mean Visc. 1 '[mPas']]]</f>
        <v>#NAME?</v>
      </c>
      <c r="AD24" s="7" t="e">
        <f>Tabelle156[[#This Row],[Standardabweichung 2]]/Tabelle156[[#This Row],[Mean Visc. 2 '[mPas']2]]</f>
        <v>#DIV/0!</v>
      </c>
      <c r="AE24" s="7" t="e">
        <f>Tabelle156[[#This Row],[Standardabweichung 3]]/Tabelle156[[#This Row],[Mean Visc. 3 '[mPas']3]]</f>
        <v>#DIV/0!</v>
      </c>
      <c r="AF24" s="7"/>
      <c r="AG24" s="7" t="e">
        <f>1-Tabelle15638[[#This Row],[Mean Visc. 1 '[mPas']]]/#REF!</f>
        <v>#REF!</v>
      </c>
      <c r="AH24" s="7"/>
      <c r="AI24" s="7"/>
    </row>
    <row r="25" spans="1:35" x14ac:dyDescent="0.3">
      <c r="A25">
        <v>24</v>
      </c>
      <c r="B25" s="4"/>
      <c r="C25" s="5"/>
      <c r="D25" s="7">
        <v>1</v>
      </c>
      <c r="E25" t="s">
        <v>174</v>
      </c>
      <c r="F25" t="s">
        <v>172</v>
      </c>
      <c r="G25" s="7" t="s">
        <v>188</v>
      </c>
      <c r="H25" s="12">
        <v>46063</v>
      </c>
      <c r="I25" s="9" t="s">
        <v>12</v>
      </c>
      <c r="J25" s="7">
        <v>25.2</v>
      </c>
      <c r="K25" s="7">
        <v>25</v>
      </c>
      <c r="L25" s="7">
        <v>30.24</v>
      </c>
      <c r="M25" s="7">
        <v>379</v>
      </c>
      <c r="N25" s="7">
        <f>Tabelle15638[[#This Row],[Anzahl Frames]]/Tabelle15638[[#This Row],[Aufnahmezeit '[s']]]</f>
        <v>12.533068783068783</v>
      </c>
      <c r="O25" s="7">
        <f>1/Tabelle15638[[#This Row],[Mean fps ]]</f>
        <v>7.9788918205804749E-2</v>
      </c>
      <c r="P25" s="7">
        <v>40</v>
      </c>
      <c r="S25" s="7">
        <v>0.81599999999999995</v>
      </c>
      <c r="T25" s="7">
        <v>0.66900000000000004</v>
      </c>
      <c r="U25" s="7">
        <v>1.2450000000000001</v>
      </c>
      <c r="V25" s="7"/>
      <c r="W25" s="7"/>
      <c r="X25" s="7"/>
      <c r="Y25" s="7"/>
      <c r="Z25" s="7" t="e" cm="1">
        <f t="array" ref="Z25">STABW</f>
        <v>#NAME?</v>
      </c>
      <c r="AA25" s="7"/>
      <c r="AB25" s="7"/>
      <c r="AC25" s="7" t="e">
        <f>Tabelle15638[[#This Row],[Standardabweichung 1]]/Tabelle15638[[#This Row],[Mean Visc. 1 '[mPas']]]</f>
        <v>#NAME?</v>
      </c>
      <c r="AD25" s="7" t="e">
        <f>Tabelle156[[#This Row],[Standardabweichung 2]]/Tabelle156[[#This Row],[Mean Visc. 2 '[mPas']2]]</f>
        <v>#DIV/0!</v>
      </c>
      <c r="AE25" s="7" t="e">
        <f>Tabelle156[[#This Row],[Standardabweichung 3]]/Tabelle156[[#This Row],[Mean Visc. 3 '[mPas']3]]</f>
        <v>#DIV/0!</v>
      </c>
      <c r="AF25" s="7"/>
      <c r="AG25" s="7" t="e">
        <f>1-Tabelle15638[[#This Row],[Mean Visc. 1 '[mPas']]]/#REF!</f>
        <v>#REF!</v>
      </c>
      <c r="AH25" s="7"/>
      <c r="AI25" s="7"/>
    </row>
    <row r="26" spans="1:35" s="14" customFormat="1" ht="15" thickBot="1" x14ac:dyDescent="0.35">
      <c r="A26">
        <v>25</v>
      </c>
      <c r="B26" s="15"/>
      <c r="C26" s="16"/>
      <c r="D26" s="7">
        <v>1</v>
      </c>
      <c r="E26" t="s">
        <v>174</v>
      </c>
      <c r="F26" t="s">
        <v>172</v>
      </c>
      <c r="G26" s="7" t="s">
        <v>188</v>
      </c>
      <c r="H26" s="12">
        <v>46063</v>
      </c>
      <c r="I26" s="9" t="s">
        <v>12</v>
      </c>
      <c r="J26" s="17">
        <v>25.3</v>
      </c>
      <c r="K26" s="17">
        <v>25</v>
      </c>
      <c r="L26" s="17">
        <v>30.56</v>
      </c>
      <c r="M26" s="17">
        <v>382</v>
      </c>
      <c r="N26" s="17">
        <f>Tabelle15638[[#This Row],[Anzahl Frames]]/Tabelle15638[[#This Row],[Aufnahmezeit '[s']]]</f>
        <v>12.5</v>
      </c>
      <c r="O26" s="17">
        <f>1/Tabelle15638[[#This Row],[Mean fps ]]</f>
        <v>0.08</v>
      </c>
      <c r="P26" s="17">
        <v>40</v>
      </c>
      <c r="Q26" s="20"/>
      <c r="R26" s="21"/>
      <c r="S26" s="17">
        <v>0.79900000000000004</v>
      </c>
      <c r="T26" s="17">
        <v>0.68600000000000005</v>
      </c>
      <c r="U26" s="17">
        <v>1.256</v>
      </c>
      <c r="V26" s="17"/>
      <c r="W26" s="17"/>
      <c r="X26" s="17"/>
      <c r="Y26" s="17"/>
      <c r="Z26" s="17" t="e" cm="1">
        <f t="array" ref="Z26">STABW</f>
        <v>#NAME?</v>
      </c>
      <c r="AA26" s="17"/>
      <c r="AB26" s="17"/>
      <c r="AC26" s="17" t="e">
        <f>Tabelle15638[[#This Row],[Standardabweichung 1]]/Tabelle15638[[#This Row],[Mean Visc. 1 '[mPas']]]</f>
        <v>#NAME?</v>
      </c>
      <c r="AD26" s="17" t="e">
        <f>Tabelle156[[#This Row],[Standardabweichung 2]]/Tabelle156[[#This Row],[Mean Visc. 2 '[mPas']2]]</f>
        <v>#DIV/0!</v>
      </c>
      <c r="AE26" s="17" t="e">
        <f>Tabelle156[[#This Row],[Standardabweichung 3]]/Tabelle156[[#This Row],[Mean Visc. 3 '[mPas']3]]</f>
        <v>#DIV/0!</v>
      </c>
      <c r="AF26" s="17"/>
      <c r="AG26" s="17" t="e">
        <f>1-Tabelle15638[[#This Row],[Mean Visc. 1 '[mPas']]]/#REF!</f>
        <v>#REF!</v>
      </c>
      <c r="AH26" s="17"/>
      <c r="AI26" s="17"/>
    </row>
    <row r="27" spans="1:35" ht="15" thickTop="1" x14ac:dyDescent="0.3">
      <c r="A27">
        <v>26</v>
      </c>
      <c r="B27" s="4"/>
      <c r="C27" s="5"/>
      <c r="D27" s="7">
        <v>1</v>
      </c>
      <c r="E27" t="s">
        <v>174</v>
      </c>
      <c r="F27" t="s">
        <v>172</v>
      </c>
      <c r="G27" s="7" t="s">
        <v>188</v>
      </c>
      <c r="H27" s="12">
        <v>46063</v>
      </c>
      <c r="I27" s="9" t="s">
        <v>12</v>
      </c>
      <c r="J27" s="7">
        <v>25.3</v>
      </c>
      <c r="K27" s="7">
        <v>25</v>
      </c>
      <c r="L27" s="7">
        <v>30.8</v>
      </c>
      <c r="M27" s="7">
        <v>386</v>
      </c>
      <c r="N27" s="7">
        <f>Tabelle15638[[#This Row],[Anzahl Frames]]/Tabelle15638[[#This Row],[Aufnahmezeit '[s']]]</f>
        <v>12.532467532467532</v>
      </c>
      <c r="O27" s="7">
        <f>1/Tabelle15638[[#This Row],[Mean fps ]]</f>
        <v>7.9792746113989635E-2</v>
      </c>
      <c r="P27" s="7">
        <v>40</v>
      </c>
      <c r="S27" s="7">
        <v>0.82599999999999996</v>
      </c>
      <c r="T27" s="7">
        <v>0.65900000000000003</v>
      </c>
      <c r="U27" s="7">
        <v>1.298</v>
      </c>
      <c r="V27" s="7"/>
      <c r="W27" s="7"/>
      <c r="X27" s="7"/>
      <c r="Y27" s="7"/>
      <c r="Z27" s="7" t="e" cm="1">
        <f t="array" ref="Z27">STABW</f>
        <v>#NAME?</v>
      </c>
      <c r="AA27" s="7"/>
      <c r="AB27" s="7"/>
      <c r="AC27" s="7" t="e">
        <f>Tabelle15638[[#This Row],[Standardabweichung 1]]/Tabelle15638[[#This Row],[Mean Visc. 1 '[mPas']]]</f>
        <v>#NAME?</v>
      </c>
      <c r="AD27" s="7" t="e">
        <f>Tabelle156[[#This Row],[Standardabweichung 2]]/Tabelle156[[#This Row],[Mean Visc. 2 '[mPas']2]]</f>
        <v>#DIV/0!</v>
      </c>
      <c r="AE27" s="7" t="e">
        <f>Tabelle156[[#This Row],[Standardabweichung 3]]/Tabelle156[[#This Row],[Mean Visc. 3 '[mPas']3]]</f>
        <v>#DIV/0!</v>
      </c>
      <c r="AF27" s="7"/>
      <c r="AG27" s="7" t="e">
        <f>1-Tabelle15638[[#This Row],[Mean Visc. 1 '[mPas']]]/#REF!</f>
        <v>#REF!</v>
      </c>
      <c r="AH27" s="7"/>
      <c r="AI27" s="7"/>
    </row>
    <row r="28" spans="1:35" x14ac:dyDescent="0.3">
      <c r="A28">
        <v>27</v>
      </c>
      <c r="B28" s="4"/>
      <c r="C28" s="5"/>
      <c r="D28" s="7">
        <v>1</v>
      </c>
      <c r="E28" t="s">
        <v>174</v>
      </c>
      <c r="F28" t="s">
        <v>172</v>
      </c>
      <c r="G28" s="7" t="s">
        <v>188</v>
      </c>
      <c r="H28" s="12">
        <v>46063</v>
      </c>
      <c r="I28" s="9" t="s">
        <v>12</v>
      </c>
      <c r="J28" s="7">
        <v>25.4</v>
      </c>
      <c r="K28" s="7">
        <v>25</v>
      </c>
      <c r="L28" s="7">
        <v>30.64</v>
      </c>
      <c r="M28" s="7">
        <v>383</v>
      </c>
      <c r="N28" s="7">
        <f>Tabelle15638[[#This Row],[Anzahl Frames]]/Tabelle15638[[#This Row],[Aufnahmezeit '[s']]]</f>
        <v>12.5</v>
      </c>
      <c r="O28" s="7">
        <f>1/Tabelle15638[[#This Row],[Mean fps ]]</f>
        <v>0.08</v>
      </c>
      <c r="P28" s="7">
        <v>40</v>
      </c>
      <c r="S28" s="7">
        <v>0.80100000000000005</v>
      </c>
      <c r="T28" s="7">
        <v>0.68200000000000005</v>
      </c>
      <c r="U28" s="7">
        <v>1.246</v>
      </c>
      <c r="V28" s="7"/>
      <c r="W28" s="7"/>
      <c r="X28" s="7"/>
      <c r="Y28" s="7"/>
      <c r="Z28" s="7" t="e" cm="1">
        <f t="array" ref="Z28">STABW</f>
        <v>#NAME?</v>
      </c>
      <c r="AA28" s="7"/>
      <c r="AB28" s="7"/>
      <c r="AC28" s="7" t="e">
        <f>Tabelle15638[[#This Row],[Standardabweichung 1]]/Tabelle15638[[#This Row],[Mean Visc. 1 '[mPas']]]</f>
        <v>#NAME?</v>
      </c>
      <c r="AD28" s="7" t="e">
        <f>Tabelle156[[#This Row],[Standardabweichung 2]]/Tabelle156[[#This Row],[Mean Visc. 2 '[mPas']2]]</f>
        <v>#DIV/0!</v>
      </c>
      <c r="AE28" s="7" t="e">
        <f>Tabelle156[[#This Row],[Standardabweichung 3]]/Tabelle156[[#This Row],[Mean Visc. 3 '[mPas']3]]</f>
        <v>#DIV/0!</v>
      </c>
      <c r="AF28" s="7"/>
      <c r="AG28" s="7" t="e">
        <f>1-Tabelle15638[[#This Row],[Mean Visc. 1 '[mPas']]]/#REF!</f>
        <v>#REF!</v>
      </c>
      <c r="AH28" s="7"/>
      <c r="AI28" s="7"/>
    </row>
    <row r="29" spans="1:35" x14ac:dyDescent="0.3">
      <c r="A29">
        <v>28</v>
      </c>
      <c r="B29" s="4"/>
      <c r="C29" s="5"/>
      <c r="D29" s="7">
        <v>1</v>
      </c>
      <c r="E29" t="s">
        <v>174</v>
      </c>
      <c r="F29" t="s">
        <v>172</v>
      </c>
      <c r="G29" s="7" t="s">
        <v>188</v>
      </c>
      <c r="H29" s="12">
        <v>46063</v>
      </c>
      <c r="I29" s="9" t="s">
        <v>12</v>
      </c>
      <c r="J29" s="7">
        <v>25.4</v>
      </c>
      <c r="K29" s="7">
        <v>25</v>
      </c>
      <c r="L29" s="7">
        <v>31.28</v>
      </c>
      <c r="M29" s="7">
        <v>391</v>
      </c>
      <c r="N29" s="7">
        <f>Tabelle15638[[#This Row],[Anzahl Frames]]/Tabelle15638[[#This Row],[Aufnahmezeit '[s']]]</f>
        <v>12.5</v>
      </c>
      <c r="O29" s="7">
        <f>1/Tabelle15638[[#This Row],[Mean fps ]]</f>
        <v>0.08</v>
      </c>
      <c r="P29" s="7">
        <v>40</v>
      </c>
      <c r="S29" s="7">
        <v>0.81200000000000006</v>
      </c>
      <c r="T29" s="7">
        <v>0.67100000000000004</v>
      </c>
      <c r="U29" s="7">
        <v>1.2549999999999999</v>
      </c>
      <c r="V29" s="7"/>
      <c r="W29" s="7"/>
      <c r="X29" s="7"/>
      <c r="Y29" s="7"/>
      <c r="Z29" s="7" t="e" cm="1">
        <f t="array" ref="Z29">STABW</f>
        <v>#NAME?</v>
      </c>
      <c r="AA29" s="7"/>
      <c r="AB29" s="7"/>
      <c r="AC29" s="7" t="e">
        <f>Tabelle15638[[#This Row],[Standardabweichung 1]]/Tabelle15638[[#This Row],[Mean Visc. 1 '[mPas']]]</f>
        <v>#NAME?</v>
      </c>
      <c r="AD29" s="7" t="e">
        <f>Tabelle156[[#This Row],[Standardabweichung 2]]/Tabelle156[[#This Row],[Mean Visc. 2 '[mPas']2]]</f>
        <v>#DIV/0!</v>
      </c>
      <c r="AE29" s="7" t="e">
        <f>Tabelle156[[#This Row],[Standardabweichung 3]]/Tabelle156[[#This Row],[Mean Visc. 3 '[mPas']3]]</f>
        <v>#DIV/0!</v>
      </c>
      <c r="AF29" s="7"/>
      <c r="AG29" s="7" t="e">
        <f>1-Tabelle15638[[#This Row],[Mean Visc. 1 '[mPas']]]/#REF!</f>
        <v>#REF!</v>
      </c>
      <c r="AH29" s="7"/>
      <c r="AI29" s="7"/>
    </row>
    <row r="30" spans="1:35" x14ac:dyDescent="0.3">
      <c r="A30">
        <v>29</v>
      </c>
      <c r="B30" s="4"/>
      <c r="C30" s="5"/>
      <c r="D30" s="7">
        <v>1</v>
      </c>
      <c r="E30" t="s">
        <v>174</v>
      </c>
      <c r="F30" t="s">
        <v>172</v>
      </c>
      <c r="G30" s="7" t="s">
        <v>188</v>
      </c>
      <c r="H30" s="12">
        <v>46063</v>
      </c>
      <c r="I30" s="9" t="s">
        <v>12</v>
      </c>
      <c r="J30" s="7">
        <v>25.4</v>
      </c>
      <c r="K30" s="7">
        <v>25</v>
      </c>
      <c r="L30" s="7">
        <v>30.48</v>
      </c>
      <c r="M30" s="7">
        <v>381</v>
      </c>
      <c r="N30" s="7">
        <f>Tabelle15638[[#This Row],[Anzahl Frames]]/Tabelle15638[[#This Row],[Aufnahmezeit '[s']]]</f>
        <v>12.5</v>
      </c>
      <c r="O30" s="7">
        <f>1/Tabelle15638[[#This Row],[Mean fps ]]</f>
        <v>0.08</v>
      </c>
      <c r="P30" s="7">
        <v>40</v>
      </c>
      <c r="S30" s="7">
        <v>0.80800000000000005</v>
      </c>
      <c r="T30" s="7">
        <v>0.627</v>
      </c>
      <c r="U30" s="7">
        <v>1.2669999999999999</v>
      </c>
      <c r="V30" s="7"/>
      <c r="W30" s="7"/>
      <c r="X30" s="7"/>
      <c r="Y30" s="7"/>
      <c r="Z30" s="7" t="e" cm="1">
        <f t="array" ref="Z30">STABW</f>
        <v>#NAME?</v>
      </c>
      <c r="AA30" s="7"/>
      <c r="AB30" s="7"/>
      <c r="AC30" s="7" t="e">
        <f>Tabelle15638[[#This Row],[Standardabweichung 1]]/Tabelle15638[[#This Row],[Mean Visc. 1 '[mPas']]]</f>
        <v>#NAME?</v>
      </c>
      <c r="AD30" s="7" t="e">
        <f>Tabelle156[[#This Row],[Standardabweichung 2]]/Tabelle156[[#This Row],[Mean Visc. 2 '[mPas']2]]</f>
        <v>#DIV/0!</v>
      </c>
      <c r="AE30" s="7" t="e">
        <f>Tabelle156[[#This Row],[Standardabweichung 3]]/Tabelle156[[#This Row],[Mean Visc. 3 '[mPas']3]]</f>
        <v>#DIV/0!</v>
      </c>
      <c r="AF30" s="7"/>
      <c r="AG30" s="7" t="e">
        <f>1-Tabelle15638[[#This Row],[Mean Visc. 1 '[mPas']]]/#REF!</f>
        <v>#REF!</v>
      </c>
      <c r="AH30" s="7"/>
      <c r="AI30" s="7"/>
    </row>
    <row r="31" spans="1:35" s="14" customFormat="1" ht="15" thickBot="1" x14ac:dyDescent="0.35">
      <c r="A31">
        <v>30</v>
      </c>
      <c r="B31" s="15"/>
      <c r="C31" s="16"/>
      <c r="D31" s="7">
        <v>1</v>
      </c>
      <c r="E31" t="s">
        <v>174</v>
      </c>
      <c r="F31" t="s">
        <v>172</v>
      </c>
      <c r="G31" s="7" t="s">
        <v>188</v>
      </c>
      <c r="H31" s="12">
        <v>46063</v>
      </c>
      <c r="I31" s="9" t="s">
        <v>12</v>
      </c>
      <c r="J31" s="17">
        <v>25.5</v>
      </c>
      <c r="K31" s="17">
        <v>25</v>
      </c>
      <c r="L31" s="17">
        <v>30.64</v>
      </c>
      <c r="M31" s="17">
        <v>383</v>
      </c>
      <c r="N31" s="17">
        <f>Tabelle15638[[#This Row],[Anzahl Frames]]/Tabelle15638[[#This Row],[Aufnahmezeit '[s']]]</f>
        <v>12.5</v>
      </c>
      <c r="O31" s="17">
        <f>1/Tabelle15638[[#This Row],[Mean fps ]]</f>
        <v>0.08</v>
      </c>
      <c r="P31" s="17">
        <v>40</v>
      </c>
      <c r="Q31" s="20"/>
      <c r="R31" s="21"/>
      <c r="S31" s="17">
        <v>0.79700000000000004</v>
      </c>
      <c r="T31" s="17">
        <v>0.67700000000000005</v>
      </c>
      <c r="U31" s="17">
        <v>1.2470000000000001</v>
      </c>
      <c r="V31" s="17"/>
      <c r="W31" s="7">
        <f>SUM(S22:S31)/10</f>
        <v>0.81709999999999994</v>
      </c>
      <c r="X31" s="7">
        <f t="shared" ref="X31" si="4">SUM(T22:T31)/10</f>
        <v>0.6714</v>
      </c>
      <c r="Y31" s="7">
        <f t="shared" ref="Y31" si="5">SUM(U22:U31)/10</f>
        <v>1.2661000000000002</v>
      </c>
      <c r="Z31" s="17">
        <f>_xlfn.STDEV.S(S22:S31)</f>
        <v>2.8942279722847589E-2</v>
      </c>
      <c r="AA31" s="17">
        <f t="shared" ref="AA31:AB31" si="6">_xlfn.STDEV.S(T22:T31)</f>
        <v>1.7570176752415203E-2</v>
      </c>
      <c r="AB31" s="17">
        <f t="shared" si="6"/>
        <v>2.5212210445646296E-2</v>
      </c>
      <c r="AC31" s="17">
        <f>Tabelle15638[[#This Row],[Standardabweichung 1]]/Tabelle15638[[#This Row],[Mean Visc. 1 '[mPas']]]</f>
        <v>3.5420731517375584E-2</v>
      </c>
      <c r="AD31" s="17">
        <f>Tabelle15638[[#This Row],[Standardabweichung 2]]/Tabelle15638[[#This Row],[Mean Visc. 2 '[mPas']2]]</f>
        <v>2.6169461948786422E-2</v>
      </c>
      <c r="AE31" s="17">
        <f>Tabelle15638[[#This Row],[Standardabweichung 3]]/Tabelle15638[[#This Row],[Mean Visc. 3 '[mPas']3]]</f>
        <v>1.9913285242592442E-2</v>
      </c>
      <c r="AF31" s="17"/>
      <c r="AG31" s="17" t="e">
        <f>1-Tabelle15638[[#This Row],[Mean Visc. 1 '[mPas']]]/#REF!</f>
        <v>#REF!</v>
      </c>
      <c r="AH31" s="17"/>
      <c r="AI31" s="17"/>
    </row>
    <row r="32" spans="1:35" ht="15" thickTop="1" x14ac:dyDescent="0.3">
      <c r="A32">
        <v>31</v>
      </c>
      <c r="B32" s="4"/>
      <c r="C32" s="5"/>
      <c r="D32" s="7">
        <v>2</v>
      </c>
      <c r="E32" t="s">
        <v>169</v>
      </c>
      <c r="F32" t="s">
        <v>172</v>
      </c>
      <c r="G32" s="7" t="s">
        <v>186</v>
      </c>
      <c r="H32" s="12">
        <v>46063</v>
      </c>
      <c r="I32" s="9" t="s">
        <v>12</v>
      </c>
      <c r="J32" s="7">
        <v>23.8</v>
      </c>
      <c r="K32" s="7">
        <v>31</v>
      </c>
      <c r="L32" s="7">
        <v>30.17</v>
      </c>
      <c r="M32" s="7">
        <v>381</v>
      </c>
      <c r="N32" s="7">
        <f>Tabelle15638[[#This Row],[Anzahl Frames]]/Tabelle15638[[#This Row],[Aufnahmezeit '[s']]]</f>
        <v>12.628438846536294</v>
      </c>
      <c r="O32" s="7">
        <f>1/Tabelle15638[[#This Row],[Mean fps ]]</f>
        <v>7.9186351706036745E-2</v>
      </c>
      <c r="P32" s="7">
        <v>40</v>
      </c>
      <c r="S32" s="7">
        <v>1.385</v>
      </c>
      <c r="T32" s="7">
        <v>1.0960000000000001</v>
      </c>
      <c r="U32" s="7">
        <v>1.97</v>
      </c>
      <c r="V32" s="7"/>
      <c r="W32" s="7"/>
      <c r="X32" s="7"/>
      <c r="Y32" s="7"/>
      <c r="Z32" s="7" t="e" cm="1">
        <f t="array" ref="Z32">STABW</f>
        <v>#NAME?</v>
      </c>
      <c r="AA32" s="7"/>
      <c r="AB32" s="7"/>
      <c r="AC32" s="7" t="e">
        <f>Tabelle15638[[#This Row],[Standardabweichung 1]]/Tabelle15638[[#This Row],[Mean Visc. 1 '[mPas']]]</f>
        <v>#NAME?</v>
      </c>
      <c r="AD32" s="7" t="e">
        <f>Tabelle156[[#This Row],[Standardabweichung 2]]/Tabelle156[[#This Row],[Mean Visc. 2 '[mPas']2]]</f>
        <v>#DIV/0!</v>
      </c>
      <c r="AE32" s="7" t="e">
        <f>Tabelle156[[#This Row],[Standardabweichung 3]]/Tabelle156[[#This Row],[Mean Visc. 3 '[mPas']3]]</f>
        <v>#DIV/0!</v>
      </c>
      <c r="AF32" s="7"/>
      <c r="AG32" s="7" t="e">
        <f>1-Tabelle15638[[#This Row],[Mean Visc. 1 '[mPas']]]/#REF!</f>
        <v>#REF!</v>
      </c>
      <c r="AH32" s="7"/>
      <c r="AI32" s="7"/>
    </row>
    <row r="33" spans="1:35" x14ac:dyDescent="0.3">
      <c r="A33">
        <v>32</v>
      </c>
      <c r="B33" s="4"/>
      <c r="C33" s="5"/>
      <c r="D33" s="7">
        <v>2</v>
      </c>
      <c r="E33" t="s">
        <v>169</v>
      </c>
      <c r="F33" t="s">
        <v>172</v>
      </c>
      <c r="G33" s="7" t="s">
        <v>186</v>
      </c>
      <c r="H33" s="12">
        <v>46063</v>
      </c>
      <c r="I33" s="9" t="s">
        <v>12</v>
      </c>
      <c r="J33" s="7">
        <v>23.9</v>
      </c>
      <c r="K33" s="7">
        <v>31</v>
      </c>
      <c r="L33" s="7">
        <v>30.64</v>
      </c>
      <c r="M33" s="7">
        <v>383</v>
      </c>
      <c r="N33" s="7">
        <f>Tabelle15638[[#This Row],[Anzahl Frames]]/Tabelle15638[[#This Row],[Aufnahmezeit '[s']]]</f>
        <v>12.5</v>
      </c>
      <c r="O33" s="7">
        <f>1/Tabelle15638[[#This Row],[Mean fps ]]</f>
        <v>0.08</v>
      </c>
      <c r="P33" s="7">
        <v>40</v>
      </c>
      <c r="S33" s="7">
        <v>1.413</v>
      </c>
      <c r="T33" s="7">
        <v>1.1930000000000001</v>
      </c>
      <c r="U33" s="7">
        <v>1.962</v>
      </c>
      <c r="V33" s="7"/>
      <c r="W33" s="7"/>
      <c r="X33" s="7"/>
      <c r="Y33" s="7"/>
      <c r="Z33" s="7" t="e" cm="1">
        <f t="array" ref="Z33">STABW</f>
        <v>#NAME?</v>
      </c>
      <c r="AA33" s="7"/>
      <c r="AB33" s="7"/>
      <c r="AC33" s="7" t="e">
        <f>Tabelle15638[[#This Row],[Standardabweichung 1]]/Tabelle15638[[#This Row],[Mean Visc. 1 '[mPas']]]</f>
        <v>#NAME?</v>
      </c>
      <c r="AD33" s="7" t="e">
        <f>Tabelle156[[#This Row],[Standardabweichung 2]]/Tabelle156[[#This Row],[Mean Visc. 2 '[mPas']2]]</f>
        <v>#DIV/0!</v>
      </c>
      <c r="AE33" s="7" t="e">
        <f>Tabelle156[[#This Row],[Standardabweichung 3]]/Tabelle156[[#This Row],[Mean Visc. 3 '[mPas']3]]</f>
        <v>#DIV/0!</v>
      </c>
      <c r="AF33" s="7"/>
      <c r="AG33" s="7" t="e">
        <f>1-Tabelle15638[[#This Row],[Mean Visc. 1 '[mPas']]]/#REF!</f>
        <v>#REF!</v>
      </c>
      <c r="AH33" s="7"/>
      <c r="AI33" s="7"/>
    </row>
    <row r="34" spans="1:35" x14ac:dyDescent="0.3">
      <c r="A34">
        <v>33</v>
      </c>
      <c r="B34" s="4"/>
      <c r="C34" s="5"/>
      <c r="D34" s="7">
        <v>2</v>
      </c>
      <c r="E34" t="s">
        <v>169</v>
      </c>
      <c r="F34" t="s">
        <v>172</v>
      </c>
      <c r="G34" s="7" t="s">
        <v>186</v>
      </c>
      <c r="H34" s="12">
        <v>46063</v>
      </c>
      <c r="I34" s="9" t="s">
        <v>12</v>
      </c>
      <c r="J34" s="7">
        <v>24</v>
      </c>
      <c r="K34" s="7">
        <v>31</v>
      </c>
      <c r="L34" s="7">
        <v>30.08</v>
      </c>
      <c r="M34" s="7">
        <v>377</v>
      </c>
      <c r="N34" s="7">
        <f>Tabelle15638[[#This Row],[Anzahl Frames]]/Tabelle15638[[#This Row],[Aufnahmezeit '[s']]]</f>
        <v>12.533244680851064</v>
      </c>
      <c r="O34" s="7">
        <f>1/Tabelle15638[[#This Row],[Mean fps ]]</f>
        <v>7.9787798408488056E-2</v>
      </c>
      <c r="P34" s="7">
        <v>40</v>
      </c>
      <c r="S34" s="7">
        <v>1.2809999999999999</v>
      </c>
      <c r="T34" s="7">
        <v>1.03</v>
      </c>
      <c r="U34" s="7">
        <v>1.778</v>
      </c>
      <c r="V34" s="7"/>
      <c r="W34" s="7"/>
      <c r="X34" s="7"/>
      <c r="Y34" s="7"/>
      <c r="Z34" s="7" t="e" cm="1">
        <f t="array" ref="Z34">STABW</f>
        <v>#NAME?</v>
      </c>
      <c r="AA34" s="7"/>
      <c r="AB34" s="7"/>
      <c r="AC34" s="7" t="e">
        <f>Tabelle15638[[#This Row],[Standardabweichung 1]]/Tabelle15638[[#This Row],[Mean Visc. 1 '[mPas']]]</f>
        <v>#NAME?</v>
      </c>
      <c r="AD34" s="7" t="e">
        <f>Tabelle156[[#This Row],[Standardabweichung 2]]/Tabelle156[[#This Row],[Mean Visc. 2 '[mPas']2]]</f>
        <v>#DIV/0!</v>
      </c>
      <c r="AE34" s="7" t="e">
        <f>Tabelle156[[#This Row],[Standardabweichung 3]]/Tabelle156[[#This Row],[Mean Visc. 3 '[mPas']3]]</f>
        <v>#DIV/0!</v>
      </c>
      <c r="AF34" s="7"/>
      <c r="AG34" s="7" t="e">
        <f>1-Tabelle15638[[#This Row],[Mean Visc. 1 '[mPas']]]/#REF!</f>
        <v>#REF!</v>
      </c>
      <c r="AH34" s="7"/>
      <c r="AI34" s="7"/>
    </row>
    <row r="35" spans="1:35" x14ac:dyDescent="0.3">
      <c r="A35">
        <v>34</v>
      </c>
      <c r="B35" s="4"/>
      <c r="C35" s="5"/>
      <c r="D35" s="7">
        <v>2</v>
      </c>
      <c r="E35" t="s">
        <v>169</v>
      </c>
      <c r="F35" t="s">
        <v>172</v>
      </c>
      <c r="G35" s="7" t="s">
        <v>186</v>
      </c>
      <c r="H35" s="12">
        <v>46063</v>
      </c>
      <c r="I35" s="9" t="s">
        <v>12</v>
      </c>
      <c r="J35" s="7">
        <v>24.2</v>
      </c>
      <c r="K35" s="7">
        <v>31</v>
      </c>
      <c r="L35" s="7">
        <v>30.26</v>
      </c>
      <c r="M35" s="7">
        <v>378</v>
      </c>
      <c r="N35" s="7">
        <f>Tabelle15638[[#This Row],[Anzahl Frames]]/Tabelle15638[[#This Row],[Aufnahmezeit '[s']]]</f>
        <v>12.491738268341043</v>
      </c>
      <c r="O35" s="7">
        <f>1/Tabelle15638[[#This Row],[Mean fps ]]</f>
        <v>8.0052910052910056E-2</v>
      </c>
      <c r="P35" s="7">
        <v>40</v>
      </c>
      <c r="S35" s="7">
        <v>1.6020000000000001</v>
      </c>
      <c r="T35" s="7">
        <v>1.2909999999999999</v>
      </c>
      <c r="U35" s="7">
        <v>2.1280000000000001</v>
      </c>
      <c r="V35" s="7"/>
      <c r="W35" s="7"/>
      <c r="X35" s="7"/>
      <c r="Y35" s="7"/>
      <c r="Z35" s="7" t="e" cm="1">
        <f t="array" ref="Z35">STABW</f>
        <v>#NAME?</v>
      </c>
      <c r="AA35" s="7"/>
      <c r="AB35" s="7"/>
      <c r="AC35" s="7" t="e">
        <f>Tabelle15638[[#This Row],[Standardabweichung 1]]/Tabelle15638[[#This Row],[Mean Visc. 1 '[mPas']]]</f>
        <v>#NAME?</v>
      </c>
      <c r="AD35" s="7" t="e">
        <f>Tabelle156[[#This Row],[Standardabweichung 2]]/Tabelle156[[#This Row],[Mean Visc. 2 '[mPas']2]]</f>
        <v>#DIV/0!</v>
      </c>
      <c r="AE35" s="7" t="e">
        <f>Tabelle156[[#This Row],[Standardabweichung 3]]/Tabelle156[[#This Row],[Mean Visc. 3 '[mPas']3]]</f>
        <v>#DIV/0!</v>
      </c>
      <c r="AF35" s="7"/>
      <c r="AG35" s="7" t="e">
        <f>1-Tabelle15638[[#This Row],[Mean Visc. 1 '[mPas']]]/#REF!</f>
        <v>#REF!</v>
      </c>
      <c r="AH35" s="7"/>
      <c r="AI35" s="7"/>
    </row>
    <row r="36" spans="1:35" s="14" customFormat="1" ht="15" thickBot="1" x14ac:dyDescent="0.35">
      <c r="A36">
        <v>35</v>
      </c>
      <c r="B36" s="15"/>
      <c r="C36" s="16"/>
      <c r="D36" s="7">
        <v>2</v>
      </c>
      <c r="E36" t="s">
        <v>169</v>
      </c>
      <c r="F36" t="s">
        <v>172</v>
      </c>
      <c r="G36" s="7" t="s">
        <v>186</v>
      </c>
      <c r="H36" s="12">
        <v>46063</v>
      </c>
      <c r="I36" s="9" t="s">
        <v>12</v>
      </c>
      <c r="J36" s="17">
        <v>24.4</v>
      </c>
      <c r="K36" s="17">
        <v>31</v>
      </c>
      <c r="L36" s="17">
        <v>30.79</v>
      </c>
      <c r="M36" s="17">
        <v>385</v>
      </c>
      <c r="N36" s="17">
        <f>Tabelle15638[[#This Row],[Anzahl Frames]]/Tabelle15638[[#This Row],[Aufnahmezeit '[s']]]</f>
        <v>12.504059759662228</v>
      </c>
      <c r="O36" s="17">
        <f>1/Tabelle15638[[#This Row],[Mean fps ]]</f>
        <v>7.9974025974025975E-2</v>
      </c>
      <c r="P36" s="7">
        <v>40</v>
      </c>
      <c r="Q36" s="20"/>
      <c r="R36" s="21"/>
      <c r="S36" s="17">
        <v>1.843</v>
      </c>
      <c r="T36" s="17">
        <v>1.135</v>
      </c>
      <c r="U36" s="17">
        <v>2.323</v>
      </c>
      <c r="V36" s="17"/>
      <c r="W36" s="17"/>
      <c r="X36" s="17"/>
      <c r="Y36" s="17"/>
      <c r="Z36" s="17" t="e" cm="1">
        <f t="array" ref="Z36">STABW</f>
        <v>#NAME?</v>
      </c>
      <c r="AA36" s="17"/>
      <c r="AB36" s="17"/>
      <c r="AC36" s="17" t="e">
        <f>Tabelle15638[[#This Row],[Standardabweichung 1]]/Tabelle15638[[#This Row],[Mean Visc. 1 '[mPas']]]</f>
        <v>#NAME?</v>
      </c>
      <c r="AD36" s="17" t="e">
        <f>Tabelle156[[#This Row],[Standardabweichung 2]]/Tabelle156[[#This Row],[Mean Visc. 2 '[mPas']2]]</f>
        <v>#DIV/0!</v>
      </c>
      <c r="AE36" s="17" t="e">
        <f>Tabelle156[[#This Row],[Standardabweichung 3]]/Tabelle156[[#This Row],[Mean Visc. 3 '[mPas']3]]</f>
        <v>#DIV/0!</v>
      </c>
      <c r="AF36" s="17"/>
      <c r="AG36" s="17" t="e">
        <f>1-Tabelle15638[[#This Row],[Mean Visc. 1 '[mPas']]]/#REF!</f>
        <v>#REF!</v>
      </c>
      <c r="AH36" s="17"/>
      <c r="AI36" s="17"/>
    </row>
    <row r="37" spans="1:35" ht="15" thickTop="1" x14ac:dyDescent="0.3">
      <c r="A37">
        <v>36</v>
      </c>
      <c r="B37" s="4"/>
      <c r="C37" s="5"/>
      <c r="D37" s="7">
        <v>2</v>
      </c>
      <c r="E37" t="s">
        <v>169</v>
      </c>
      <c r="F37" t="s">
        <v>172</v>
      </c>
      <c r="G37" s="7" t="s">
        <v>186</v>
      </c>
      <c r="H37" s="12">
        <v>46063</v>
      </c>
      <c r="I37" s="9" t="s">
        <v>12</v>
      </c>
      <c r="J37" s="7">
        <v>24.6</v>
      </c>
      <c r="K37" s="7">
        <v>31</v>
      </c>
      <c r="L37" s="7">
        <v>30.72</v>
      </c>
      <c r="M37" s="7">
        <v>384</v>
      </c>
      <c r="N37" s="7">
        <f>Tabelle15638[[#This Row],[Anzahl Frames]]/Tabelle15638[[#This Row],[Aufnahmezeit '[s']]]</f>
        <v>12.5</v>
      </c>
      <c r="O37" s="7">
        <f>1/Tabelle15638[[#This Row],[Mean fps ]]</f>
        <v>0.08</v>
      </c>
      <c r="P37" s="7">
        <v>40</v>
      </c>
      <c r="S37" s="7">
        <v>1.611</v>
      </c>
      <c r="T37" s="7">
        <v>1.2130000000000001</v>
      </c>
      <c r="U37" s="7">
        <v>2.0350000000000001</v>
      </c>
      <c r="V37" s="7"/>
      <c r="W37" s="7"/>
      <c r="X37" s="7"/>
      <c r="Y37" s="7"/>
      <c r="Z37" s="7" t="e" cm="1">
        <f t="array" ref="Z37">STABW</f>
        <v>#NAME?</v>
      </c>
      <c r="AA37" s="7"/>
      <c r="AB37" s="7"/>
      <c r="AC37" s="7" t="e">
        <f>Tabelle15638[[#This Row],[Standardabweichung 1]]/Tabelle15638[[#This Row],[Mean Visc. 1 '[mPas']]]</f>
        <v>#NAME?</v>
      </c>
      <c r="AD37" s="7" t="e">
        <f>Tabelle156[[#This Row],[Standardabweichung 2]]/Tabelle156[[#This Row],[Mean Visc. 2 '[mPas']2]]</f>
        <v>#DIV/0!</v>
      </c>
      <c r="AE37" s="7" t="e">
        <f>Tabelle156[[#This Row],[Standardabweichung 3]]/Tabelle156[[#This Row],[Mean Visc. 3 '[mPas']3]]</f>
        <v>#DIV/0!</v>
      </c>
      <c r="AF37" s="7"/>
      <c r="AG37" s="7" t="e">
        <f>1-Tabelle15638[[#This Row],[Mean Visc. 1 '[mPas']]]/#REF!</f>
        <v>#REF!</v>
      </c>
      <c r="AH37" s="7"/>
      <c r="AI37" s="7"/>
    </row>
    <row r="38" spans="1:35" x14ac:dyDescent="0.3">
      <c r="A38">
        <v>37</v>
      </c>
      <c r="B38" s="4"/>
      <c r="C38" s="5"/>
      <c r="D38" s="7">
        <v>2</v>
      </c>
      <c r="E38" t="s">
        <v>169</v>
      </c>
      <c r="F38" t="s">
        <v>172</v>
      </c>
      <c r="G38" s="7" t="s">
        <v>186</v>
      </c>
      <c r="H38" s="12">
        <v>46063</v>
      </c>
      <c r="I38" s="9" t="s">
        <v>12</v>
      </c>
      <c r="J38" s="7">
        <v>24.7</v>
      </c>
      <c r="K38" s="7">
        <v>31</v>
      </c>
      <c r="L38" s="7">
        <v>30.56</v>
      </c>
      <c r="M38" s="7">
        <v>382</v>
      </c>
      <c r="N38" s="7">
        <f>Tabelle15638[[#This Row],[Anzahl Frames]]/Tabelle15638[[#This Row],[Aufnahmezeit '[s']]]</f>
        <v>12.5</v>
      </c>
      <c r="O38" s="7">
        <f>1/Tabelle15638[[#This Row],[Mean fps ]]</f>
        <v>0.08</v>
      </c>
      <c r="P38" s="7">
        <v>40</v>
      </c>
      <c r="S38" s="7">
        <v>1.5549999999999999</v>
      </c>
      <c r="T38" s="7">
        <v>1.194</v>
      </c>
      <c r="U38" s="7">
        <v>2.105</v>
      </c>
      <c r="V38" s="7"/>
      <c r="W38" s="7"/>
      <c r="X38" s="7"/>
      <c r="Y38" s="7"/>
      <c r="Z38" s="7" t="e" cm="1">
        <f t="array" ref="Z38">STABW</f>
        <v>#NAME?</v>
      </c>
      <c r="AA38" s="7"/>
      <c r="AB38" s="7"/>
      <c r="AC38" s="7" t="e">
        <f>Tabelle15638[[#This Row],[Standardabweichung 1]]/Tabelle15638[[#This Row],[Mean Visc. 1 '[mPas']]]</f>
        <v>#NAME?</v>
      </c>
      <c r="AD38" s="7" t="e">
        <f>Tabelle156[[#This Row],[Standardabweichung 2]]/Tabelle156[[#This Row],[Mean Visc. 2 '[mPas']2]]</f>
        <v>#DIV/0!</v>
      </c>
      <c r="AE38" s="7" t="e">
        <f>Tabelle156[[#This Row],[Standardabweichung 3]]/Tabelle156[[#This Row],[Mean Visc. 3 '[mPas']3]]</f>
        <v>#DIV/0!</v>
      </c>
      <c r="AF38" s="7"/>
      <c r="AG38" s="7" t="e">
        <f>1-Tabelle15638[[#This Row],[Mean Visc. 1 '[mPas']]]/#REF!</f>
        <v>#REF!</v>
      </c>
      <c r="AH38" s="7"/>
      <c r="AI38" s="7"/>
    </row>
    <row r="39" spans="1:35" x14ac:dyDescent="0.3">
      <c r="A39">
        <v>38</v>
      </c>
      <c r="B39" s="4"/>
      <c r="C39" s="5"/>
      <c r="D39" s="7">
        <v>2</v>
      </c>
      <c r="E39" t="s">
        <v>169</v>
      </c>
      <c r="F39" t="s">
        <v>172</v>
      </c>
      <c r="G39" s="7" t="s">
        <v>186</v>
      </c>
      <c r="H39" s="12">
        <v>46063</v>
      </c>
      <c r="I39" s="9" t="s">
        <v>12</v>
      </c>
      <c r="J39" s="7">
        <v>24.7</v>
      </c>
      <c r="K39" s="7">
        <v>31</v>
      </c>
      <c r="L39" s="7">
        <v>30.96</v>
      </c>
      <c r="M39" s="7">
        <v>387</v>
      </c>
      <c r="N39" s="7">
        <f>Tabelle15638[[#This Row],[Anzahl Frames]]/Tabelle15638[[#This Row],[Aufnahmezeit '[s']]]</f>
        <v>12.5</v>
      </c>
      <c r="O39" s="7">
        <f>1/Tabelle15638[[#This Row],[Mean fps ]]</f>
        <v>0.08</v>
      </c>
      <c r="P39" s="7">
        <v>40</v>
      </c>
      <c r="S39" s="7">
        <v>1.56</v>
      </c>
      <c r="T39" s="7">
        <v>1.26</v>
      </c>
      <c r="U39" s="7">
        <v>2.06</v>
      </c>
      <c r="V39" s="7"/>
      <c r="W39" s="7"/>
      <c r="X39" s="7"/>
      <c r="Y39" s="7"/>
      <c r="Z39" s="7" t="e" cm="1">
        <f t="array" ref="Z39">STABW</f>
        <v>#NAME?</v>
      </c>
      <c r="AA39" s="7"/>
      <c r="AB39" s="7"/>
      <c r="AC39" s="7" t="e">
        <f>Tabelle15638[[#This Row],[Standardabweichung 1]]/Tabelle15638[[#This Row],[Mean Visc. 1 '[mPas']]]</f>
        <v>#NAME?</v>
      </c>
      <c r="AD39" s="7" t="e">
        <f>Tabelle156[[#This Row],[Standardabweichung 2]]/Tabelle156[[#This Row],[Mean Visc. 2 '[mPas']2]]</f>
        <v>#DIV/0!</v>
      </c>
      <c r="AE39" s="7" t="e">
        <f>Tabelle156[[#This Row],[Standardabweichung 3]]/Tabelle156[[#This Row],[Mean Visc. 3 '[mPas']3]]</f>
        <v>#DIV/0!</v>
      </c>
      <c r="AF39" s="7"/>
      <c r="AG39" s="7" t="e">
        <f>1-Tabelle15638[[#This Row],[Mean Visc. 1 '[mPas']]]/#REF!</f>
        <v>#REF!</v>
      </c>
      <c r="AH39" s="7"/>
      <c r="AI39" s="7"/>
    </row>
    <row r="40" spans="1:35" x14ac:dyDescent="0.3">
      <c r="A40">
        <v>39</v>
      </c>
      <c r="B40" s="4"/>
      <c r="C40" s="5"/>
      <c r="D40" s="7">
        <v>2</v>
      </c>
      <c r="E40" t="s">
        <v>169</v>
      </c>
      <c r="F40" t="s">
        <v>172</v>
      </c>
      <c r="G40" s="7" t="s">
        <v>186</v>
      </c>
      <c r="H40" s="12">
        <v>46063</v>
      </c>
      <c r="I40" s="9" t="s">
        <v>12</v>
      </c>
      <c r="J40" s="7">
        <v>24.8</v>
      </c>
      <c r="K40" s="7">
        <v>31</v>
      </c>
      <c r="L40" s="7">
        <v>31.92</v>
      </c>
      <c r="M40" s="7">
        <v>399</v>
      </c>
      <c r="N40" s="7">
        <f>Tabelle15638[[#This Row],[Anzahl Frames]]/Tabelle15638[[#This Row],[Aufnahmezeit '[s']]]</f>
        <v>12.5</v>
      </c>
      <c r="O40" s="7">
        <f>1/Tabelle15638[[#This Row],[Mean fps ]]</f>
        <v>0.08</v>
      </c>
      <c r="P40" s="7">
        <v>40</v>
      </c>
      <c r="S40" s="7">
        <v>1.5009999999999999</v>
      </c>
      <c r="T40" s="7">
        <v>1.2070000000000001</v>
      </c>
      <c r="U40" s="7">
        <v>2.0790000000000002</v>
      </c>
      <c r="V40" s="7"/>
      <c r="W40" s="7"/>
      <c r="X40" s="7"/>
      <c r="Y40" s="7"/>
      <c r="Z40" s="7" t="e" cm="1">
        <f t="array" ref="Z40">STABW</f>
        <v>#NAME?</v>
      </c>
      <c r="AA40" s="7"/>
      <c r="AB40" s="7"/>
      <c r="AC40" s="7" t="e">
        <f>Tabelle15638[[#This Row],[Standardabweichung 1]]/Tabelle15638[[#This Row],[Mean Visc. 1 '[mPas']]]</f>
        <v>#NAME?</v>
      </c>
      <c r="AD40" s="7" t="e">
        <f>Tabelle156[[#This Row],[Standardabweichung 2]]/Tabelle156[[#This Row],[Mean Visc. 2 '[mPas']2]]</f>
        <v>#DIV/0!</v>
      </c>
      <c r="AE40" s="7" t="e">
        <f>Tabelle156[[#This Row],[Standardabweichung 3]]/Tabelle156[[#This Row],[Mean Visc. 3 '[mPas']3]]</f>
        <v>#DIV/0!</v>
      </c>
      <c r="AF40" s="7"/>
      <c r="AG40" s="7" t="e">
        <f>1-Tabelle15638[[#This Row],[Mean Visc. 1 '[mPas']]]/#REF!</f>
        <v>#REF!</v>
      </c>
      <c r="AH40" s="7"/>
      <c r="AI40" s="7"/>
    </row>
    <row r="41" spans="1:35" s="14" customFormat="1" ht="15" thickBot="1" x14ac:dyDescent="0.35">
      <c r="A41">
        <v>40</v>
      </c>
      <c r="B41" s="15"/>
      <c r="C41" s="16"/>
      <c r="D41" s="7">
        <v>2</v>
      </c>
      <c r="E41" t="s">
        <v>169</v>
      </c>
      <c r="F41" t="s">
        <v>172</v>
      </c>
      <c r="G41" s="7" t="s">
        <v>186</v>
      </c>
      <c r="H41" s="12">
        <v>46063</v>
      </c>
      <c r="I41" s="9" t="s">
        <v>12</v>
      </c>
      <c r="J41" s="17">
        <v>24.9</v>
      </c>
      <c r="K41" s="17">
        <v>31</v>
      </c>
      <c r="L41" s="17">
        <v>31.2</v>
      </c>
      <c r="M41" s="17">
        <v>390</v>
      </c>
      <c r="N41" s="17">
        <f>Tabelle15638[[#This Row],[Anzahl Frames]]/Tabelle15638[[#This Row],[Aufnahmezeit '[s']]]</f>
        <v>12.5</v>
      </c>
      <c r="O41" s="17">
        <f>1/Tabelle15638[[#This Row],[Mean fps ]]</f>
        <v>0.08</v>
      </c>
      <c r="P41" s="7">
        <v>40</v>
      </c>
      <c r="Q41" s="20"/>
      <c r="R41" s="21"/>
      <c r="S41" s="17">
        <v>1.38</v>
      </c>
      <c r="T41" s="17">
        <v>1.131</v>
      </c>
      <c r="U41" s="17">
        <v>1.9330000000000001</v>
      </c>
      <c r="V41" s="17"/>
      <c r="W41" s="7">
        <f>SUM(S32:S41)/10</f>
        <v>1.5131000000000001</v>
      </c>
      <c r="X41" s="7">
        <f>SUM(T32:T41)/10</f>
        <v>1.175</v>
      </c>
      <c r="Y41" s="7">
        <f t="shared" ref="Y41" si="7">SUM(U32:U41)/10</f>
        <v>2.0373000000000001</v>
      </c>
      <c r="Z41" s="17">
        <f>_xlfn.STDEV.S(S32:S41)</f>
        <v>0.15931760731319061</v>
      </c>
      <c r="AA41" s="17">
        <f t="shared" ref="AA41" si="8">_xlfn.STDEV.S(T32:T41)</f>
        <v>7.7914483035355267E-2</v>
      </c>
      <c r="AB41" s="17">
        <f>_xlfn.STDEV.S(U32:U41)</f>
        <v>0.14337522643593473</v>
      </c>
      <c r="AC41" s="17">
        <f>Tabelle15638[[#This Row],[Standardabweichung 1]]/Tabelle15638[[#This Row],[Mean Visc. 1 '[mPas']]]</f>
        <v>0.10529218644715524</v>
      </c>
      <c r="AD41" s="17">
        <f>Tabelle15638[[#This Row],[Standardabweichung 2]]/Tabelle15638[[#This Row],[Mean Visc. 2 '[mPas']2]]</f>
        <v>6.6310198327961922E-2</v>
      </c>
      <c r="AE41" s="17">
        <f>Tabelle15638[[#This Row],[Standardabweichung 3]]/Tabelle15638[[#This Row],[Mean Visc. 3 '[mPas']3]]</f>
        <v>7.0375117280682631E-2</v>
      </c>
      <c r="AF41" s="17"/>
      <c r="AG41" s="17" t="e">
        <f>1-Tabelle15638[[#This Row],[Mean Visc. 1 '[mPas']]]/#REF!</f>
        <v>#REF!</v>
      </c>
      <c r="AH41" s="17"/>
      <c r="AI41" s="17"/>
    </row>
    <row r="42" spans="1:35" ht="15" thickTop="1" x14ac:dyDescent="0.3">
      <c r="A42">
        <v>41</v>
      </c>
      <c r="B42" s="4"/>
      <c r="C42" s="5"/>
      <c r="D42" s="7">
        <v>2</v>
      </c>
      <c r="E42" t="s">
        <v>169</v>
      </c>
      <c r="F42" t="s">
        <v>172</v>
      </c>
      <c r="G42" s="7" t="s">
        <v>187</v>
      </c>
      <c r="H42" s="12">
        <v>46063</v>
      </c>
      <c r="I42" s="9" t="s">
        <v>12</v>
      </c>
      <c r="J42" s="7">
        <v>25</v>
      </c>
      <c r="K42" s="7">
        <v>31</v>
      </c>
      <c r="L42" s="7">
        <v>30.8</v>
      </c>
      <c r="M42" s="7">
        <v>385</v>
      </c>
      <c r="N42" s="7">
        <f>Tabelle15638[[#This Row],[Anzahl Frames]]/Tabelle15638[[#This Row],[Aufnahmezeit '[s']]]</f>
        <v>12.5</v>
      </c>
      <c r="O42" s="7">
        <f>1/Tabelle15638[[#This Row],[Mean fps ]]</f>
        <v>0.08</v>
      </c>
      <c r="P42" s="7">
        <v>40</v>
      </c>
      <c r="S42" s="7">
        <v>1.595</v>
      </c>
      <c r="T42" s="7">
        <v>1.171</v>
      </c>
      <c r="U42" s="7">
        <v>1.996</v>
      </c>
      <c r="V42" s="7"/>
      <c r="W42" s="7"/>
      <c r="X42" s="7"/>
      <c r="Y42" s="7"/>
      <c r="Z42" s="7" t="e" cm="1">
        <f t="array" ref="Z42">STABW</f>
        <v>#NAME?</v>
      </c>
      <c r="AA42" s="7"/>
      <c r="AB42" s="7"/>
      <c r="AC42" s="7" t="e">
        <f>Tabelle15638[[#This Row],[Standardabweichung 1]]/Tabelle15638[[#This Row],[Mean Visc. 1 '[mPas']]]</f>
        <v>#NAME?</v>
      </c>
      <c r="AD42" s="7" t="e">
        <f>Tabelle156[[#This Row],[Standardabweichung 2]]/Tabelle156[[#This Row],[Mean Visc. 2 '[mPas']2]]</f>
        <v>#DIV/0!</v>
      </c>
      <c r="AE42" s="7" t="e">
        <f>Tabelle156[[#This Row],[Standardabweichung 3]]/Tabelle156[[#This Row],[Mean Visc. 3 '[mPas']3]]</f>
        <v>#DIV/0!</v>
      </c>
      <c r="AF42" s="7"/>
      <c r="AG42" s="7" t="e">
        <f>1-Tabelle15638[[#This Row],[Mean Visc. 1 '[mPas']]]/#REF!</f>
        <v>#REF!</v>
      </c>
      <c r="AH42" s="7"/>
      <c r="AI42" s="7"/>
    </row>
    <row r="43" spans="1:35" x14ac:dyDescent="0.3">
      <c r="A43">
        <v>42</v>
      </c>
      <c r="B43" s="4"/>
      <c r="C43" s="5"/>
      <c r="D43" s="7">
        <v>2</v>
      </c>
      <c r="E43" t="s">
        <v>169</v>
      </c>
      <c r="F43" t="s">
        <v>172</v>
      </c>
      <c r="G43" s="7" t="s">
        <v>187</v>
      </c>
      <c r="H43" s="12">
        <v>46063</v>
      </c>
      <c r="I43" s="9" t="s">
        <v>12</v>
      </c>
      <c r="J43" s="7">
        <v>25.1</v>
      </c>
      <c r="K43" s="7">
        <v>28</v>
      </c>
      <c r="L43" s="7">
        <v>30.4</v>
      </c>
      <c r="M43" s="7">
        <v>380</v>
      </c>
      <c r="N43" s="7">
        <f>Tabelle15638[[#This Row],[Anzahl Frames]]/Tabelle15638[[#This Row],[Aufnahmezeit '[s']]]</f>
        <v>12.5</v>
      </c>
      <c r="O43" s="7">
        <f>1/Tabelle15638[[#This Row],[Mean fps ]]</f>
        <v>0.08</v>
      </c>
      <c r="P43" s="7">
        <v>40</v>
      </c>
      <c r="S43" s="7">
        <v>1.6319999999999999</v>
      </c>
      <c r="T43" s="7">
        <v>1.222</v>
      </c>
      <c r="U43" s="7">
        <v>2.4540000000000002</v>
      </c>
      <c r="V43" s="7"/>
      <c r="W43" s="7"/>
      <c r="X43" s="7"/>
      <c r="Y43" s="7"/>
      <c r="Z43" s="7" t="e" cm="1">
        <f t="array" ref="Z43">STABW</f>
        <v>#NAME?</v>
      </c>
      <c r="AA43" s="7"/>
      <c r="AB43" s="7"/>
      <c r="AC43" s="7" t="e">
        <f>Tabelle15638[[#This Row],[Standardabweichung 1]]/Tabelle15638[[#This Row],[Mean Visc. 1 '[mPas']]]</f>
        <v>#NAME?</v>
      </c>
      <c r="AD43" s="7" t="e">
        <f>Tabelle156[[#This Row],[Standardabweichung 2]]/Tabelle156[[#This Row],[Mean Visc. 2 '[mPas']2]]</f>
        <v>#DIV/0!</v>
      </c>
      <c r="AE43" s="7" t="e">
        <f>Tabelle156[[#This Row],[Standardabweichung 3]]/Tabelle156[[#This Row],[Mean Visc. 3 '[mPas']3]]</f>
        <v>#DIV/0!</v>
      </c>
      <c r="AF43" s="7"/>
      <c r="AG43" s="7" t="e">
        <f>1-Tabelle15638[[#This Row],[Mean Visc. 1 '[mPas']]]/#REF!</f>
        <v>#REF!</v>
      </c>
      <c r="AH43" s="7"/>
      <c r="AI43" s="7"/>
    </row>
    <row r="44" spans="1:35" x14ac:dyDescent="0.3">
      <c r="A44">
        <v>43</v>
      </c>
      <c r="B44" s="4"/>
      <c r="C44" s="5"/>
      <c r="D44" s="7">
        <v>2</v>
      </c>
      <c r="E44" t="s">
        <v>169</v>
      </c>
      <c r="F44" t="s">
        <v>172</v>
      </c>
      <c r="G44" s="7" t="s">
        <v>187</v>
      </c>
      <c r="H44" s="12">
        <v>46063</v>
      </c>
      <c r="I44" s="9" t="s">
        <v>12</v>
      </c>
      <c r="J44" s="7">
        <v>25.2</v>
      </c>
      <c r="K44" s="7">
        <v>28</v>
      </c>
      <c r="L44" s="7">
        <v>30.08</v>
      </c>
      <c r="M44" s="7">
        <v>377</v>
      </c>
      <c r="N44" s="7">
        <f>Tabelle15638[[#This Row],[Anzahl Frames]]/Tabelle15638[[#This Row],[Aufnahmezeit '[s']]]</f>
        <v>12.533244680851064</v>
      </c>
      <c r="O44" s="7">
        <f>1/Tabelle15638[[#This Row],[Mean fps ]]</f>
        <v>7.9787798408488056E-2</v>
      </c>
      <c r="P44" s="7">
        <v>40</v>
      </c>
      <c r="S44" s="7">
        <v>1.621</v>
      </c>
      <c r="T44" s="7">
        <v>1.2390000000000001</v>
      </c>
      <c r="U44" s="7">
        <v>2.2549999999999999</v>
      </c>
      <c r="V44" s="7"/>
      <c r="W44" s="7"/>
      <c r="X44" s="7"/>
      <c r="Y44" s="7"/>
      <c r="Z44" s="7" t="e" cm="1">
        <f t="array" ref="Z44">STABW</f>
        <v>#NAME?</v>
      </c>
      <c r="AA44" s="7"/>
      <c r="AB44" s="7"/>
      <c r="AC44" s="7" t="e">
        <f>Tabelle15638[[#This Row],[Standardabweichung 1]]/Tabelle15638[[#This Row],[Mean Visc. 1 '[mPas']]]</f>
        <v>#NAME?</v>
      </c>
      <c r="AD44" s="7" t="e">
        <f>Tabelle156[[#This Row],[Standardabweichung 2]]/Tabelle156[[#This Row],[Mean Visc. 2 '[mPas']2]]</f>
        <v>#DIV/0!</v>
      </c>
      <c r="AE44" s="7" t="e">
        <f>Tabelle156[[#This Row],[Standardabweichung 3]]/Tabelle156[[#This Row],[Mean Visc. 3 '[mPas']3]]</f>
        <v>#DIV/0!</v>
      </c>
      <c r="AF44" s="7"/>
      <c r="AG44" s="7" t="e">
        <f>1-Tabelle15638[[#This Row],[Mean Visc. 1 '[mPas']]]/#REF!</f>
        <v>#REF!</v>
      </c>
      <c r="AH44" s="7"/>
      <c r="AI44" s="7"/>
    </row>
    <row r="45" spans="1:35" x14ac:dyDescent="0.3">
      <c r="A45">
        <v>44</v>
      </c>
      <c r="B45" s="4"/>
      <c r="C45" s="5"/>
      <c r="D45" s="7">
        <v>2</v>
      </c>
      <c r="E45" t="s">
        <v>169</v>
      </c>
      <c r="F45" t="s">
        <v>172</v>
      </c>
      <c r="G45" s="7" t="s">
        <v>187</v>
      </c>
      <c r="H45" s="12">
        <v>46063</v>
      </c>
      <c r="I45" s="9" t="s">
        <v>12</v>
      </c>
      <c r="J45" s="7">
        <v>25.2</v>
      </c>
      <c r="K45" s="7">
        <v>28</v>
      </c>
      <c r="L45" s="7">
        <v>30.64</v>
      </c>
      <c r="M45" s="7">
        <v>383</v>
      </c>
      <c r="N45" s="7">
        <f>Tabelle15638[[#This Row],[Anzahl Frames]]/Tabelle15638[[#This Row],[Aufnahmezeit '[s']]]</f>
        <v>12.5</v>
      </c>
      <c r="O45" s="7">
        <f>1/Tabelle15638[[#This Row],[Mean fps ]]</f>
        <v>0.08</v>
      </c>
      <c r="P45" s="7">
        <v>40</v>
      </c>
      <c r="S45" s="7">
        <v>1.6950000000000001</v>
      </c>
      <c r="T45" s="7">
        <v>1.3460000000000001</v>
      </c>
      <c r="U45" s="7">
        <v>2.2599999999999998</v>
      </c>
      <c r="V45" s="7"/>
      <c r="W45" s="7"/>
      <c r="X45" s="7"/>
      <c r="Y45" s="7"/>
      <c r="Z45" s="7" t="e" cm="1">
        <f t="array" ref="Z45">STABW</f>
        <v>#NAME?</v>
      </c>
      <c r="AA45" s="7"/>
      <c r="AB45" s="7"/>
      <c r="AC45" s="7" t="e">
        <f>Tabelle15638[[#This Row],[Standardabweichung 1]]/Tabelle15638[[#This Row],[Mean Visc. 1 '[mPas']]]</f>
        <v>#NAME?</v>
      </c>
      <c r="AD45" s="7" t="e">
        <f>Tabelle156[[#This Row],[Standardabweichung 2]]/Tabelle156[[#This Row],[Mean Visc. 2 '[mPas']2]]</f>
        <v>#DIV/0!</v>
      </c>
      <c r="AE45" s="7" t="e">
        <f>Tabelle156[[#This Row],[Standardabweichung 3]]/Tabelle156[[#This Row],[Mean Visc. 3 '[mPas']3]]</f>
        <v>#DIV/0!</v>
      </c>
      <c r="AF45" s="7"/>
      <c r="AG45" s="7" t="e">
        <f>1-Tabelle15638[[#This Row],[Mean Visc. 1 '[mPas']]]/#REF!</f>
        <v>#REF!</v>
      </c>
      <c r="AH45" s="7"/>
      <c r="AI45" s="7"/>
    </row>
    <row r="46" spans="1:35" s="14" customFormat="1" ht="15" thickBot="1" x14ac:dyDescent="0.35">
      <c r="A46">
        <v>45</v>
      </c>
      <c r="B46" s="15"/>
      <c r="C46" s="16"/>
      <c r="D46" s="7">
        <v>2</v>
      </c>
      <c r="E46" t="s">
        <v>169</v>
      </c>
      <c r="F46" t="s">
        <v>172</v>
      </c>
      <c r="G46" s="7" t="s">
        <v>187</v>
      </c>
      <c r="H46" s="12">
        <v>46063</v>
      </c>
      <c r="I46" s="9" t="s">
        <v>12</v>
      </c>
      <c r="J46" s="17">
        <v>25.2</v>
      </c>
      <c r="K46" s="17">
        <v>28</v>
      </c>
      <c r="L46" s="17">
        <v>29.84</v>
      </c>
      <c r="M46" s="17">
        <v>373</v>
      </c>
      <c r="N46" s="17">
        <f>Tabelle15638[[#This Row],[Anzahl Frames]]/Tabelle15638[[#This Row],[Aufnahmezeit '[s']]]</f>
        <v>12.5</v>
      </c>
      <c r="O46" s="17">
        <f>1/Tabelle15638[[#This Row],[Mean fps ]]</f>
        <v>0.08</v>
      </c>
      <c r="P46" s="17">
        <v>40</v>
      </c>
      <c r="Q46" s="20"/>
      <c r="R46" s="21"/>
      <c r="S46" s="17">
        <v>1.8560000000000001</v>
      </c>
      <c r="T46" s="17">
        <v>1.2729999999999999</v>
      </c>
      <c r="U46" s="17">
        <v>2.4780000000000002</v>
      </c>
      <c r="V46" s="17"/>
      <c r="W46" s="17"/>
      <c r="X46" s="17"/>
      <c r="Y46" s="17"/>
      <c r="Z46" s="17" t="e" cm="1">
        <f t="array" ref="Z46">STABW</f>
        <v>#NAME?</v>
      </c>
      <c r="AA46" s="17"/>
      <c r="AB46" s="17"/>
      <c r="AC46" s="17" t="e">
        <f>Tabelle15638[[#This Row],[Standardabweichung 1]]/Tabelle15638[[#This Row],[Mean Visc. 1 '[mPas']]]</f>
        <v>#NAME?</v>
      </c>
      <c r="AD46" s="17" t="e">
        <f>Tabelle156[[#This Row],[Standardabweichung 2]]/Tabelle156[[#This Row],[Mean Visc. 2 '[mPas']2]]</f>
        <v>#DIV/0!</v>
      </c>
      <c r="AE46" s="17" t="e">
        <f>Tabelle156[[#This Row],[Standardabweichung 3]]/Tabelle156[[#This Row],[Mean Visc. 3 '[mPas']3]]</f>
        <v>#DIV/0!</v>
      </c>
      <c r="AF46" s="17"/>
      <c r="AG46" s="17" t="e">
        <f>1-Tabelle15638[[#This Row],[Mean Visc. 1 '[mPas']]]/#REF!</f>
        <v>#REF!</v>
      </c>
      <c r="AH46" s="17"/>
      <c r="AI46" s="17"/>
    </row>
    <row r="47" spans="1:35" ht="15" thickTop="1" x14ac:dyDescent="0.3">
      <c r="A47">
        <v>46</v>
      </c>
      <c r="B47" s="4"/>
      <c r="C47" s="5"/>
      <c r="D47" s="7">
        <v>2</v>
      </c>
      <c r="E47" t="s">
        <v>169</v>
      </c>
      <c r="F47" t="s">
        <v>172</v>
      </c>
      <c r="G47" s="7" t="s">
        <v>187</v>
      </c>
      <c r="H47" s="12">
        <v>46063</v>
      </c>
      <c r="I47" s="9" t="s">
        <v>12</v>
      </c>
      <c r="J47" s="7">
        <v>25.3</v>
      </c>
      <c r="K47" s="7">
        <v>28</v>
      </c>
      <c r="L47" s="7">
        <v>30.87</v>
      </c>
      <c r="M47" s="7">
        <v>386</v>
      </c>
      <c r="N47" s="7">
        <f>Tabelle15638[[#This Row],[Anzahl Frames]]/Tabelle15638[[#This Row],[Aufnahmezeit '[s']]]</f>
        <v>12.504049238743116</v>
      </c>
      <c r="O47" s="7">
        <f>1/Tabelle15638[[#This Row],[Mean fps ]]</f>
        <v>7.9974093264248702E-2</v>
      </c>
      <c r="P47" s="7">
        <v>40</v>
      </c>
      <c r="S47" s="7">
        <v>1.736</v>
      </c>
      <c r="T47" s="7">
        <v>1.39</v>
      </c>
      <c r="U47" s="7">
        <v>2.3929999999999998</v>
      </c>
      <c r="V47" s="7"/>
      <c r="W47" s="7"/>
      <c r="X47" s="7"/>
      <c r="Y47" s="7"/>
      <c r="Z47" s="7" t="e" cm="1">
        <f t="array" ref="Z47">STABW</f>
        <v>#NAME?</v>
      </c>
      <c r="AA47" s="7"/>
      <c r="AB47" s="7"/>
      <c r="AC47" s="7" t="e">
        <f>Tabelle15638[[#This Row],[Standardabweichung 1]]/Tabelle15638[[#This Row],[Mean Visc. 1 '[mPas']]]</f>
        <v>#NAME?</v>
      </c>
      <c r="AD47" s="7" t="e">
        <f>Tabelle156[[#This Row],[Standardabweichung 2]]/Tabelle156[[#This Row],[Mean Visc. 2 '[mPas']2]]</f>
        <v>#DIV/0!</v>
      </c>
      <c r="AE47" s="7" t="e">
        <f>Tabelle156[[#This Row],[Standardabweichung 3]]/Tabelle156[[#This Row],[Mean Visc. 3 '[mPas']3]]</f>
        <v>#DIV/0!</v>
      </c>
      <c r="AF47" s="7"/>
      <c r="AG47" s="7" t="e">
        <f>1-Tabelle15638[[#This Row],[Mean Visc. 1 '[mPas']]]/#REF!</f>
        <v>#REF!</v>
      </c>
      <c r="AH47" s="7"/>
      <c r="AI47" s="7"/>
    </row>
    <row r="48" spans="1:35" x14ac:dyDescent="0.3">
      <c r="A48">
        <v>47</v>
      </c>
      <c r="B48" s="4"/>
      <c r="C48" s="5"/>
      <c r="D48" s="7">
        <v>2</v>
      </c>
      <c r="E48" t="s">
        <v>169</v>
      </c>
      <c r="F48" t="s">
        <v>172</v>
      </c>
      <c r="G48" s="7" t="s">
        <v>187</v>
      </c>
      <c r="H48" s="12">
        <v>46063</v>
      </c>
      <c r="I48" s="9" t="s">
        <v>12</v>
      </c>
      <c r="J48" s="7">
        <v>25.3</v>
      </c>
      <c r="K48" s="7">
        <v>28</v>
      </c>
      <c r="L48" s="7">
        <v>31.12</v>
      </c>
      <c r="M48" s="7">
        <v>389</v>
      </c>
      <c r="N48" s="7">
        <f>Tabelle15638[[#This Row],[Anzahl Frames]]/Tabelle15638[[#This Row],[Aufnahmezeit '[s']]]</f>
        <v>12.5</v>
      </c>
      <c r="O48" s="7">
        <f>1/Tabelle15638[[#This Row],[Mean fps ]]</f>
        <v>0.08</v>
      </c>
      <c r="P48" s="7">
        <v>40</v>
      </c>
      <c r="S48" s="7">
        <v>1.9370000000000001</v>
      </c>
      <c r="T48" s="7">
        <v>1.52</v>
      </c>
      <c r="U48" s="7">
        <v>2.399</v>
      </c>
      <c r="V48" s="7"/>
      <c r="W48" s="7"/>
      <c r="X48" s="7"/>
      <c r="Y48" s="7"/>
      <c r="Z48" s="7" t="e" cm="1">
        <f t="array" ref="Z48">STABW</f>
        <v>#NAME?</v>
      </c>
      <c r="AA48" s="7"/>
      <c r="AB48" s="7"/>
      <c r="AC48" s="7" t="e">
        <f>Tabelle15638[[#This Row],[Standardabweichung 1]]/Tabelle15638[[#This Row],[Mean Visc. 1 '[mPas']]]</f>
        <v>#NAME?</v>
      </c>
      <c r="AD48" s="7" t="e">
        <f>Tabelle156[[#This Row],[Standardabweichung 2]]/Tabelle156[[#This Row],[Mean Visc. 2 '[mPas']2]]</f>
        <v>#DIV/0!</v>
      </c>
      <c r="AE48" s="7" t="e">
        <f>Tabelle156[[#This Row],[Standardabweichung 3]]/Tabelle156[[#This Row],[Mean Visc. 3 '[mPas']3]]</f>
        <v>#DIV/0!</v>
      </c>
      <c r="AF48" s="7"/>
      <c r="AG48" s="7" t="e">
        <f>1-Tabelle15638[[#This Row],[Mean Visc. 1 '[mPas']]]/#REF!</f>
        <v>#REF!</v>
      </c>
      <c r="AH48" s="7"/>
      <c r="AI48" s="7"/>
    </row>
    <row r="49" spans="1:35" x14ac:dyDescent="0.3">
      <c r="A49">
        <v>48</v>
      </c>
      <c r="B49" s="4"/>
      <c r="C49" s="5"/>
      <c r="D49" s="7">
        <v>2</v>
      </c>
      <c r="E49" t="s">
        <v>169</v>
      </c>
      <c r="F49" t="s">
        <v>172</v>
      </c>
      <c r="G49" s="7" t="s">
        <v>187</v>
      </c>
      <c r="H49" s="12">
        <v>46063</v>
      </c>
      <c r="I49" s="9" t="s">
        <v>12</v>
      </c>
      <c r="J49" s="7">
        <v>25.4</v>
      </c>
      <c r="K49" s="7">
        <v>28</v>
      </c>
      <c r="L49" s="7">
        <v>31.04</v>
      </c>
      <c r="M49" s="7">
        <v>388</v>
      </c>
      <c r="N49" s="7">
        <f>Tabelle15638[[#This Row],[Anzahl Frames]]/Tabelle15638[[#This Row],[Aufnahmezeit '[s']]]</f>
        <v>12.5</v>
      </c>
      <c r="O49" s="7">
        <f>1/Tabelle15638[[#This Row],[Mean fps ]]</f>
        <v>0.08</v>
      </c>
      <c r="P49" s="7">
        <v>40</v>
      </c>
      <c r="S49" s="7">
        <v>1.6739999999999999</v>
      </c>
      <c r="T49" s="7">
        <v>1.3560000000000001</v>
      </c>
      <c r="U49" s="7">
        <v>2.3069999999999999</v>
      </c>
      <c r="V49" s="7"/>
      <c r="W49" s="7"/>
      <c r="X49" s="7"/>
      <c r="Y49" s="7"/>
      <c r="Z49" s="7" t="e" cm="1">
        <f t="array" ref="Z49">STABW</f>
        <v>#NAME?</v>
      </c>
      <c r="AA49" s="7"/>
      <c r="AB49" s="7"/>
      <c r="AC49" s="7" t="e">
        <f>Tabelle15638[[#This Row],[Standardabweichung 1]]/Tabelle15638[[#This Row],[Mean Visc. 1 '[mPas']]]</f>
        <v>#NAME?</v>
      </c>
      <c r="AD49" s="7" t="e">
        <f>Tabelle156[[#This Row],[Standardabweichung 2]]/Tabelle156[[#This Row],[Mean Visc. 2 '[mPas']2]]</f>
        <v>#DIV/0!</v>
      </c>
      <c r="AE49" s="7" t="e">
        <f>Tabelle156[[#This Row],[Standardabweichung 3]]/Tabelle156[[#This Row],[Mean Visc. 3 '[mPas']3]]</f>
        <v>#DIV/0!</v>
      </c>
      <c r="AF49" s="7"/>
      <c r="AG49" s="7" t="e">
        <f>1-Tabelle15638[[#This Row],[Mean Visc. 1 '[mPas']]]/#REF!</f>
        <v>#REF!</v>
      </c>
      <c r="AH49" s="7"/>
      <c r="AI49" s="7"/>
    </row>
    <row r="50" spans="1:35" x14ac:dyDescent="0.3">
      <c r="A50">
        <v>49</v>
      </c>
      <c r="B50" s="4"/>
      <c r="C50" s="5"/>
      <c r="D50" s="7">
        <v>2</v>
      </c>
      <c r="E50" t="s">
        <v>169</v>
      </c>
      <c r="F50" t="s">
        <v>172</v>
      </c>
      <c r="G50" s="7" t="s">
        <v>187</v>
      </c>
      <c r="H50" s="12">
        <v>46063</v>
      </c>
      <c r="I50" s="9" t="s">
        <v>12</v>
      </c>
      <c r="J50" s="7">
        <v>25.4</v>
      </c>
      <c r="K50" s="7">
        <v>28</v>
      </c>
      <c r="L50" s="7">
        <v>30.48</v>
      </c>
      <c r="M50" s="7">
        <v>381</v>
      </c>
      <c r="N50" s="7">
        <f>Tabelle15638[[#This Row],[Anzahl Frames]]/Tabelle15638[[#This Row],[Aufnahmezeit '[s']]]</f>
        <v>12.5</v>
      </c>
      <c r="O50" s="7">
        <f>1/Tabelle15638[[#This Row],[Mean fps ]]</f>
        <v>0.08</v>
      </c>
      <c r="P50" s="7">
        <v>40</v>
      </c>
      <c r="S50" s="7">
        <v>1.897</v>
      </c>
      <c r="T50" s="7">
        <v>1.4590000000000001</v>
      </c>
      <c r="U50" s="7">
        <v>2.367</v>
      </c>
      <c r="V50" s="7"/>
      <c r="W50" s="7"/>
      <c r="X50" s="7"/>
      <c r="Y50" s="7"/>
      <c r="Z50" s="7" t="e" cm="1">
        <f t="array" ref="Z50">STABW</f>
        <v>#NAME?</v>
      </c>
      <c r="AA50" s="7"/>
      <c r="AB50" s="7"/>
      <c r="AC50" s="7" t="e">
        <f>Tabelle15638[[#This Row],[Standardabweichung 1]]/Tabelle15638[[#This Row],[Mean Visc. 1 '[mPas']]]</f>
        <v>#NAME?</v>
      </c>
      <c r="AD50" s="7" t="e">
        <f>Tabelle156[[#This Row],[Standardabweichung 2]]/Tabelle156[[#This Row],[Mean Visc. 2 '[mPas']2]]</f>
        <v>#DIV/0!</v>
      </c>
      <c r="AE50" s="7" t="e">
        <f>Tabelle156[[#This Row],[Standardabweichung 3]]/Tabelle156[[#This Row],[Mean Visc. 3 '[mPas']3]]</f>
        <v>#DIV/0!</v>
      </c>
      <c r="AF50" s="7"/>
      <c r="AG50" s="7" t="e">
        <f>1-Tabelle15638[[#This Row],[Mean Visc. 1 '[mPas']]]/#REF!</f>
        <v>#REF!</v>
      </c>
      <c r="AH50" s="7"/>
      <c r="AI50" s="7"/>
    </row>
    <row r="51" spans="1:35" s="14" customFormat="1" ht="15" thickBot="1" x14ac:dyDescent="0.35">
      <c r="A51">
        <v>50</v>
      </c>
      <c r="B51" s="15"/>
      <c r="C51" s="16"/>
      <c r="D51" s="7">
        <v>2</v>
      </c>
      <c r="E51" t="s">
        <v>169</v>
      </c>
      <c r="F51" t="s">
        <v>172</v>
      </c>
      <c r="G51" s="7" t="s">
        <v>187</v>
      </c>
      <c r="H51" s="12">
        <v>46063</v>
      </c>
      <c r="I51" s="9" t="s">
        <v>12</v>
      </c>
      <c r="J51" s="17">
        <v>25.4</v>
      </c>
      <c r="K51" s="17">
        <v>28</v>
      </c>
      <c r="L51" s="17">
        <v>30.48</v>
      </c>
      <c r="M51" s="17">
        <v>382</v>
      </c>
      <c r="N51" s="17">
        <f>Tabelle15638[[#This Row],[Anzahl Frames]]/Tabelle15638[[#This Row],[Aufnahmezeit '[s']]]</f>
        <v>12.532808398950131</v>
      </c>
      <c r="O51" s="17">
        <f>1/Tabelle15638[[#This Row],[Mean fps ]]</f>
        <v>7.9790575916230372E-2</v>
      </c>
      <c r="P51" s="17">
        <v>40</v>
      </c>
      <c r="Q51" s="20"/>
      <c r="R51" s="21"/>
      <c r="S51" s="17">
        <v>2.2250000000000001</v>
      </c>
      <c r="T51" s="17">
        <v>1.609</v>
      </c>
      <c r="U51" s="17">
        <v>2.7290000000000001</v>
      </c>
      <c r="V51" s="17"/>
      <c r="W51" s="7">
        <f>SUM(S42:S51)/10</f>
        <v>1.7868000000000002</v>
      </c>
      <c r="X51" s="7">
        <f>SUM(T42:T51)/10</f>
        <v>1.3584999999999998</v>
      </c>
      <c r="Y51" s="7">
        <f t="shared" ref="Y51" si="9">SUM(U42:U51)/10</f>
        <v>2.3637999999999999</v>
      </c>
      <c r="Z51" s="17">
        <f>_xlfn.STDEV.S(S42:S51)</f>
        <v>0.19535824642037494</v>
      </c>
      <c r="AA51" s="17">
        <f t="shared" ref="AA51" si="10">_xlfn.STDEV.S(T42:T51)</f>
        <v>0.13962907210813147</v>
      </c>
      <c r="AB51" s="17">
        <f>_xlfn.STDEV.S(U42:U51)</f>
        <v>0.18790233869989195</v>
      </c>
      <c r="AC51" s="17">
        <f>Tabelle15638[[#This Row],[Standardabweichung 1]]/Tabelle15638[[#This Row],[Mean Visc. 1 '[mPas']]]</f>
        <v>0.10933414283656533</v>
      </c>
      <c r="AD51" s="17">
        <f>Tabelle15638[[#This Row],[Standardabweichung 2]]/Tabelle15638[[#This Row],[Mean Visc. 2 '[mPas']2]]</f>
        <v>0.10278179765044644</v>
      </c>
      <c r="AE51" s="17">
        <f>Tabelle15638[[#This Row],[Standardabweichung 3]]/Tabelle15638[[#This Row],[Mean Visc. 3 '[mPas']3]]</f>
        <v>7.9491640028721527E-2</v>
      </c>
      <c r="AF51" s="17"/>
      <c r="AG51" s="17" t="e">
        <f>1-Tabelle15638[[#This Row],[Mean Visc. 1 '[mPas']]]/#REF!</f>
        <v>#REF!</v>
      </c>
      <c r="AH51" s="17"/>
      <c r="AI51" s="17"/>
    </row>
    <row r="52" spans="1:35" ht="15" thickTop="1" x14ac:dyDescent="0.3">
      <c r="A52">
        <v>51</v>
      </c>
      <c r="B52" s="4"/>
      <c r="C52" s="5"/>
      <c r="D52" s="7">
        <v>2</v>
      </c>
      <c r="E52" t="s">
        <v>169</v>
      </c>
      <c r="F52" t="s">
        <v>172</v>
      </c>
      <c r="G52" s="7" t="s">
        <v>188</v>
      </c>
      <c r="H52" s="12">
        <v>46063</v>
      </c>
      <c r="I52" s="9" t="s">
        <v>12</v>
      </c>
      <c r="J52" s="7">
        <v>25.4</v>
      </c>
      <c r="K52" s="7">
        <v>28</v>
      </c>
      <c r="L52" s="7">
        <v>30.06</v>
      </c>
      <c r="M52" s="7">
        <v>376</v>
      </c>
      <c r="N52" s="7">
        <f>Tabelle15638[[#This Row],[Anzahl Frames]]/Tabelle15638[[#This Row],[Aufnahmezeit '[s']]]</f>
        <v>12.508316699933467</v>
      </c>
      <c r="O52" s="7">
        <f>1/Tabelle15638[[#This Row],[Mean fps ]]</f>
        <v>7.9946808510638304E-2</v>
      </c>
      <c r="P52" s="7">
        <v>40</v>
      </c>
      <c r="S52" s="7">
        <v>0.97199999999999998</v>
      </c>
      <c r="T52" s="7">
        <v>0.80500000000000005</v>
      </c>
      <c r="U52" s="7">
        <v>1.4590000000000001</v>
      </c>
      <c r="V52" s="7"/>
      <c r="W52" s="7"/>
      <c r="X52" s="7"/>
      <c r="Y52" s="7"/>
      <c r="Z52" s="7" t="e" cm="1">
        <f t="array" ref="Z52">STABW</f>
        <v>#NAME?</v>
      </c>
      <c r="AA52" s="7"/>
      <c r="AB52" s="7"/>
      <c r="AC52" s="7" t="e">
        <f>Tabelle15638[[#This Row],[Standardabweichung 1]]/Tabelle15638[[#This Row],[Mean Visc. 1 '[mPas']]]</f>
        <v>#NAME?</v>
      </c>
      <c r="AD52" s="7" t="e">
        <f>Tabelle156[[#This Row],[Standardabweichung 2]]/Tabelle156[[#This Row],[Mean Visc. 2 '[mPas']2]]</f>
        <v>#DIV/0!</v>
      </c>
      <c r="AE52" s="7" t="e">
        <f>Tabelle156[[#This Row],[Standardabweichung 3]]/Tabelle156[[#This Row],[Mean Visc. 3 '[mPas']3]]</f>
        <v>#DIV/0!</v>
      </c>
      <c r="AF52" s="7"/>
      <c r="AG52" s="7" t="e">
        <f>1-Tabelle15638[[#This Row],[Mean Visc. 1 '[mPas']]]/#REF!</f>
        <v>#REF!</v>
      </c>
      <c r="AH52" s="7"/>
      <c r="AI52" s="7"/>
    </row>
    <row r="53" spans="1:35" x14ac:dyDescent="0.3">
      <c r="A53">
        <v>52</v>
      </c>
      <c r="B53" s="4"/>
      <c r="C53" s="5"/>
      <c r="D53" s="7">
        <v>2</v>
      </c>
      <c r="E53" t="s">
        <v>169</v>
      </c>
      <c r="F53" t="s">
        <v>172</v>
      </c>
      <c r="G53" s="7" t="s">
        <v>188</v>
      </c>
      <c r="H53" s="12">
        <v>46063</v>
      </c>
      <c r="I53" s="9" t="s">
        <v>12</v>
      </c>
      <c r="J53" s="7">
        <v>25.5</v>
      </c>
      <c r="K53" s="7">
        <v>28</v>
      </c>
      <c r="L53" s="7">
        <v>30.72</v>
      </c>
      <c r="M53" s="7">
        <v>384</v>
      </c>
      <c r="N53" s="7">
        <f>Tabelle15638[[#This Row],[Anzahl Frames]]/Tabelle15638[[#This Row],[Aufnahmezeit '[s']]]</f>
        <v>12.5</v>
      </c>
      <c r="O53" s="7">
        <f>1/Tabelle15638[[#This Row],[Mean fps ]]</f>
        <v>0.08</v>
      </c>
      <c r="P53" s="7">
        <v>40</v>
      </c>
      <c r="S53" s="7">
        <v>0.88400000000000001</v>
      </c>
      <c r="T53" s="7">
        <v>0.74</v>
      </c>
      <c r="U53" s="7">
        <v>1.4019999999999999</v>
      </c>
      <c r="V53" s="7"/>
      <c r="W53" s="7"/>
      <c r="X53" s="7"/>
      <c r="Y53" s="7"/>
      <c r="Z53" s="7" t="e" cm="1">
        <f t="array" ref="Z53">STABW</f>
        <v>#NAME?</v>
      </c>
      <c r="AA53" s="7"/>
      <c r="AB53" s="7"/>
      <c r="AC53" s="7" t="e">
        <f>Tabelle15638[[#This Row],[Standardabweichung 1]]/Tabelle15638[[#This Row],[Mean Visc. 1 '[mPas']]]</f>
        <v>#NAME?</v>
      </c>
      <c r="AD53" s="7" t="e">
        <f>Tabelle156[[#This Row],[Standardabweichung 2]]/Tabelle156[[#This Row],[Mean Visc. 2 '[mPas']2]]</f>
        <v>#DIV/0!</v>
      </c>
      <c r="AE53" s="7" t="e">
        <f>Tabelle156[[#This Row],[Standardabweichung 3]]/Tabelle156[[#This Row],[Mean Visc. 3 '[mPas']3]]</f>
        <v>#DIV/0!</v>
      </c>
      <c r="AF53" s="7"/>
      <c r="AG53" s="7" t="e">
        <f>1-Tabelle15638[[#This Row],[Mean Visc. 1 '[mPas']]]/#REF!</f>
        <v>#REF!</v>
      </c>
      <c r="AH53" s="7"/>
      <c r="AI53" s="7"/>
    </row>
    <row r="54" spans="1:35" x14ac:dyDescent="0.3">
      <c r="A54">
        <v>53</v>
      </c>
      <c r="B54" s="4"/>
      <c r="C54" s="5"/>
      <c r="D54" s="7">
        <v>2</v>
      </c>
      <c r="E54" t="s">
        <v>169</v>
      </c>
      <c r="F54" t="s">
        <v>172</v>
      </c>
      <c r="G54" s="7" t="s">
        <v>188</v>
      </c>
      <c r="H54" s="12">
        <v>46063</v>
      </c>
      <c r="I54" s="9" t="s">
        <v>12</v>
      </c>
      <c r="J54" s="7">
        <v>25.5</v>
      </c>
      <c r="K54" s="7">
        <v>28</v>
      </c>
      <c r="L54" s="7">
        <v>30.96</v>
      </c>
      <c r="M54" s="7">
        <v>387</v>
      </c>
      <c r="N54" s="7">
        <f>Tabelle15638[[#This Row],[Anzahl Frames]]/Tabelle15638[[#This Row],[Aufnahmezeit '[s']]]</f>
        <v>12.5</v>
      </c>
      <c r="O54" s="7">
        <f>1/Tabelle15638[[#This Row],[Mean fps ]]</f>
        <v>0.08</v>
      </c>
      <c r="P54" s="7">
        <v>40</v>
      </c>
      <c r="S54" s="7">
        <v>1.1000000000000001</v>
      </c>
      <c r="T54" s="7">
        <v>0.85899999999999999</v>
      </c>
      <c r="U54" s="7">
        <v>1.452</v>
      </c>
      <c r="V54" s="7"/>
      <c r="W54" s="7"/>
      <c r="X54" s="7"/>
      <c r="Y54" s="7"/>
      <c r="Z54" s="7" t="e" cm="1">
        <f t="array" ref="Z54">STABW</f>
        <v>#NAME?</v>
      </c>
      <c r="AA54" s="7"/>
      <c r="AB54" s="7"/>
      <c r="AC54" s="7" t="e">
        <f>Tabelle15638[[#This Row],[Standardabweichung 1]]/Tabelle15638[[#This Row],[Mean Visc. 1 '[mPas']]]</f>
        <v>#NAME?</v>
      </c>
      <c r="AD54" s="7" t="e">
        <f>Tabelle156[[#This Row],[Standardabweichung 2]]/Tabelle156[[#This Row],[Mean Visc. 2 '[mPas']2]]</f>
        <v>#DIV/0!</v>
      </c>
      <c r="AE54" s="7" t="e">
        <f>Tabelle156[[#This Row],[Standardabweichung 3]]/Tabelle156[[#This Row],[Mean Visc. 3 '[mPas']3]]</f>
        <v>#DIV/0!</v>
      </c>
      <c r="AF54" s="7"/>
      <c r="AG54" s="7" t="e">
        <f>1-Tabelle15638[[#This Row],[Mean Visc. 1 '[mPas']]]/#REF!</f>
        <v>#REF!</v>
      </c>
      <c r="AH54" s="7"/>
      <c r="AI54" s="7"/>
    </row>
    <row r="55" spans="1:35" x14ac:dyDescent="0.3">
      <c r="A55">
        <v>54</v>
      </c>
      <c r="B55" s="4"/>
      <c r="C55" s="5"/>
      <c r="D55" s="7">
        <v>2</v>
      </c>
      <c r="E55" t="s">
        <v>169</v>
      </c>
      <c r="F55" t="s">
        <v>172</v>
      </c>
      <c r="G55" s="7" t="s">
        <v>188</v>
      </c>
      <c r="H55" s="12">
        <v>46063</v>
      </c>
      <c r="I55" s="9" t="s">
        <v>12</v>
      </c>
      <c r="J55" s="7">
        <v>25.5</v>
      </c>
      <c r="K55" s="7">
        <v>28</v>
      </c>
      <c r="L55" s="7">
        <v>30.56</v>
      </c>
      <c r="M55" s="7">
        <v>382</v>
      </c>
      <c r="N55" s="7">
        <f>Tabelle15638[[#This Row],[Anzahl Frames]]/Tabelle15638[[#This Row],[Aufnahmezeit '[s']]]</f>
        <v>12.5</v>
      </c>
      <c r="O55" s="7">
        <f>1/Tabelle15638[[#This Row],[Mean fps ]]</f>
        <v>0.08</v>
      </c>
      <c r="P55" s="7">
        <v>40</v>
      </c>
      <c r="S55" s="7">
        <v>1.02</v>
      </c>
      <c r="T55" s="7">
        <v>0.79100000000000004</v>
      </c>
      <c r="U55" s="7">
        <v>1.4570000000000001</v>
      </c>
      <c r="V55" s="7"/>
      <c r="W55" s="7"/>
      <c r="X55" s="7"/>
      <c r="Y55" s="7"/>
      <c r="Z55" s="7" t="e" cm="1">
        <f t="array" ref="Z55">STABW</f>
        <v>#NAME?</v>
      </c>
      <c r="AA55" s="7"/>
      <c r="AB55" s="7"/>
      <c r="AC55" s="7" t="e">
        <f>Tabelle15638[[#This Row],[Standardabweichung 1]]/Tabelle15638[[#This Row],[Mean Visc. 1 '[mPas']]]</f>
        <v>#NAME?</v>
      </c>
      <c r="AD55" s="7" t="e">
        <f>Tabelle156[[#This Row],[Standardabweichung 2]]/Tabelle156[[#This Row],[Mean Visc. 2 '[mPas']2]]</f>
        <v>#DIV/0!</v>
      </c>
      <c r="AE55" s="7" t="e">
        <f>Tabelle156[[#This Row],[Standardabweichung 3]]/Tabelle156[[#This Row],[Mean Visc. 3 '[mPas']3]]</f>
        <v>#DIV/0!</v>
      </c>
      <c r="AF55" s="7"/>
      <c r="AG55" s="7" t="e">
        <f>1-Tabelle15638[[#This Row],[Mean Visc. 1 '[mPas']]]/#REF!</f>
        <v>#REF!</v>
      </c>
      <c r="AH55" s="7"/>
      <c r="AI55" s="7"/>
    </row>
    <row r="56" spans="1:35" s="14" customFormat="1" ht="15" thickBot="1" x14ac:dyDescent="0.35">
      <c r="A56">
        <v>55</v>
      </c>
      <c r="B56" s="15"/>
      <c r="C56" s="16"/>
      <c r="D56" s="7">
        <v>2</v>
      </c>
      <c r="E56" t="s">
        <v>169</v>
      </c>
      <c r="F56" t="s">
        <v>172</v>
      </c>
      <c r="G56" s="7" t="s">
        <v>188</v>
      </c>
      <c r="H56" s="12">
        <v>46063</v>
      </c>
      <c r="I56" s="9" t="s">
        <v>12</v>
      </c>
      <c r="J56" s="17">
        <v>25.6</v>
      </c>
      <c r="K56" s="17">
        <v>28</v>
      </c>
      <c r="L56" s="17">
        <v>31.12</v>
      </c>
      <c r="M56" s="17">
        <v>389</v>
      </c>
      <c r="N56" s="17">
        <f>Tabelle15638[[#This Row],[Anzahl Frames]]/Tabelle15638[[#This Row],[Aufnahmezeit '[s']]]</f>
        <v>12.5</v>
      </c>
      <c r="O56" s="17">
        <f>1/Tabelle15638[[#This Row],[Mean fps ]]</f>
        <v>0.08</v>
      </c>
      <c r="P56" s="17">
        <v>40</v>
      </c>
      <c r="Q56" s="20"/>
      <c r="R56" s="21"/>
      <c r="S56" s="17">
        <v>0.94399999999999995</v>
      </c>
      <c r="T56" s="17">
        <v>0.82199999999999995</v>
      </c>
      <c r="U56" s="17">
        <v>1.46</v>
      </c>
      <c r="V56" s="17"/>
      <c r="W56" s="17"/>
      <c r="X56" s="17"/>
      <c r="Y56" s="17"/>
      <c r="Z56" s="17" t="e" cm="1">
        <f t="array" ref="Z56">STABW</f>
        <v>#NAME?</v>
      </c>
      <c r="AA56" s="17"/>
      <c r="AB56" s="17"/>
      <c r="AC56" s="17" t="e">
        <f>Tabelle15638[[#This Row],[Standardabweichung 1]]/Tabelle15638[[#This Row],[Mean Visc. 1 '[mPas']]]</f>
        <v>#NAME?</v>
      </c>
      <c r="AD56" s="17" t="e">
        <f>Tabelle156[[#This Row],[Standardabweichung 2]]/Tabelle156[[#This Row],[Mean Visc. 2 '[mPas']2]]</f>
        <v>#DIV/0!</v>
      </c>
      <c r="AE56" s="17" t="e">
        <f>Tabelle156[[#This Row],[Standardabweichung 3]]/Tabelle156[[#This Row],[Mean Visc. 3 '[mPas']3]]</f>
        <v>#DIV/0!</v>
      </c>
      <c r="AF56" s="17"/>
      <c r="AG56" s="17" t="e">
        <f>1-Tabelle15638[[#This Row],[Mean Visc. 1 '[mPas']]]/#REF!</f>
        <v>#REF!</v>
      </c>
      <c r="AH56" s="17"/>
      <c r="AI56" s="17"/>
    </row>
    <row r="57" spans="1:35" ht="15" thickTop="1" x14ac:dyDescent="0.3">
      <c r="A57">
        <v>56</v>
      </c>
      <c r="B57" s="4"/>
      <c r="C57" s="5"/>
      <c r="D57" s="7">
        <v>2</v>
      </c>
      <c r="E57" t="s">
        <v>169</v>
      </c>
      <c r="F57" t="s">
        <v>172</v>
      </c>
      <c r="G57" s="7" t="s">
        <v>188</v>
      </c>
      <c r="H57" s="12">
        <v>46063</v>
      </c>
      <c r="I57" s="9" t="s">
        <v>12</v>
      </c>
      <c r="J57" s="7">
        <v>25.6</v>
      </c>
      <c r="K57" s="7">
        <v>28</v>
      </c>
      <c r="L57" s="7">
        <v>30.72</v>
      </c>
      <c r="M57" s="7">
        <v>385</v>
      </c>
      <c r="N57" s="7">
        <f>Tabelle15638[[#This Row],[Anzahl Frames]]/Tabelle15638[[#This Row],[Aufnahmezeit '[s']]]</f>
        <v>12.532552083333334</v>
      </c>
      <c r="O57" s="7">
        <f>1/Tabelle15638[[#This Row],[Mean fps ]]</f>
        <v>7.9792207792207789E-2</v>
      </c>
      <c r="P57" s="7">
        <v>40</v>
      </c>
      <c r="S57" s="7">
        <v>0.93700000000000006</v>
      </c>
      <c r="T57" s="7">
        <v>0.77300000000000002</v>
      </c>
      <c r="U57" s="7">
        <v>1.3859999999999999</v>
      </c>
      <c r="V57" s="7"/>
      <c r="W57" s="7"/>
      <c r="X57" s="7"/>
      <c r="Y57" s="7"/>
      <c r="Z57" s="7" t="e" cm="1">
        <f t="array" ref="Z57">STABW</f>
        <v>#NAME?</v>
      </c>
      <c r="AA57" s="7"/>
      <c r="AB57" s="7"/>
      <c r="AC57" s="7" t="e">
        <f>Tabelle15638[[#This Row],[Standardabweichung 1]]/Tabelle15638[[#This Row],[Mean Visc. 1 '[mPas']]]</f>
        <v>#NAME?</v>
      </c>
      <c r="AD57" s="7" t="e">
        <f>Tabelle156[[#This Row],[Standardabweichung 2]]/Tabelle156[[#This Row],[Mean Visc. 2 '[mPas']2]]</f>
        <v>#DIV/0!</v>
      </c>
      <c r="AE57" s="7" t="e">
        <f>Tabelle156[[#This Row],[Standardabweichung 3]]/Tabelle156[[#This Row],[Mean Visc. 3 '[mPas']3]]</f>
        <v>#DIV/0!</v>
      </c>
      <c r="AF57" s="7"/>
      <c r="AG57" s="7" t="e">
        <f>1-Tabelle15638[[#This Row],[Mean Visc. 1 '[mPas']]]/#REF!</f>
        <v>#REF!</v>
      </c>
      <c r="AH57" s="7"/>
      <c r="AI57" s="7"/>
    </row>
    <row r="58" spans="1:35" x14ac:dyDescent="0.3">
      <c r="A58">
        <v>57</v>
      </c>
      <c r="B58" s="4"/>
      <c r="C58" s="5"/>
      <c r="D58" s="7">
        <v>2</v>
      </c>
      <c r="E58" t="s">
        <v>169</v>
      </c>
      <c r="F58" t="s">
        <v>172</v>
      </c>
      <c r="G58" s="7" t="s">
        <v>188</v>
      </c>
      <c r="H58" s="12">
        <v>46063</v>
      </c>
      <c r="I58" s="9" t="s">
        <v>12</v>
      </c>
      <c r="J58" s="7">
        <v>25.6</v>
      </c>
      <c r="K58" s="7">
        <v>28</v>
      </c>
      <c r="L58" s="7">
        <v>30.4</v>
      </c>
      <c r="M58" s="7">
        <v>381</v>
      </c>
      <c r="N58" s="7">
        <f>Tabelle15638[[#This Row],[Anzahl Frames]]/Tabelle15638[[#This Row],[Aufnahmezeit '[s']]]</f>
        <v>12.532894736842106</v>
      </c>
      <c r="O58" s="7">
        <f>1/Tabelle15638[[#This Row],[Mean fps ]]</f>
        <v>7.9790026246719159E-2</v>
      </c>
      <c r="P58" s="7">
        <v>40</v>
      </c>
      <c r="S58" s="7">
        <v>0.98599999999999999</v>
      </c>
      <c r="T58" s="7">
        <v>0.84699999999999998</v>
      </c>
      <c r="U58" s="7">
        <v>1.3919999999999999</v>
      </c>
      <c r="V58" s="7"/>
      <c r="W58" s="7"/>
      <c r="X58" s="7"/>
      <c r="Y58" s="7"/>
      <c r="Z58" s="7" t="e" cm="1">
        <f t="array" ref="Z58">STABW</f>
        <v>#NAME?</v>
      </c>
      <c r="AA58" s="7"/>
      <c r="AB58" s="7"/>
      <c r="AC58" s="7" t="e">
        <f>Tabelle15638[[#This Row],[Standardabweichung 1]]/Tabelle15638[[#This Row],[Mean Visc. 1 '[mPas']]]</f>
        <v>#NAME?</v>
      </c>
      <c r="AD58" s="7" t="e">
        <f>Tabelle156[[#This Row],[Standardabweichung 2]]/Tabelle156[[#This Row],[Mean Visc. 2 '[mPas']2]]</f>
        <v>#DIV/0!</v>
      </c>
      <c r="AE58" s="7" t="e">
        <f>Tabelle156[[#This Row],[Standardabweichung 3]]/Tabelle156[[#This Row],[Mean Visc. 3 '[mPas']3]]</f>
        <v>#DIV/0!</v>
      </c>
      <c r="AF58" s="7"/>
      <c r="AG58" s="7" t="e">
        <f>1-Tabelle15638[[#This Row],[Mean Visc. 1 '[mPas']]]/#REF!</f>
        <v>#REF!</v>
      </c>
      <c r="AH58" s="7"/>
      <c r="AI58" s="7"/>
    </row>
    <row r="59" spans="1:35" x14ac:dyDescent="0.3">
      <c r="A59">
        <v>58</v>
      </c>
      <c r="B59" s="4"/>
      <c r="C59" s="5"/>
      <c r="D59" s="7">
        <v>2</v>
      </c>
      <c r="E59" t="s">
        <v>169</v>
      </c>
      <c r="F59" t="s">
        <v>172</v>
      </c>
      <c r="G59" s="7" t="s">
        <v>188</v>
      </c>
      <c r="H59" s="12">
        <v>46063</v>
      </c>
      <c r="I59" s="9" t="s">
        <v>12</v>
      </c>
      <c r="J59" s="7">
        <v>25.7</v>
      </c>
      <c r="K59" s="7">
        <v>28</v>
      </c>
      <c r="L59" s="7">
        <v>30.48</v>
      </c>
      <c r="M59" s="7">
        <v>381</v>
      </c>
      <c r="N59" s="7">
        <f>Tabelle15638[[#This Row],[Anzahl Frames]]/Tabelle15638[[#This Row],[Aufnahmezeit '[s']]]</f>
        <v>12.5</v>
      </c>
      <c r="O59" s="7">
        <f>1/Tabelle15638[[#This Row],[Mean fps ]]</f>
        <v>0.08</v>
      </c>
      <c r="P59" s="7">
        <v>40</v>
      </c>
      <c r="S59" s="7">
        <v>0.99299999999999999</v>
      </c>
      <c r="T59" s="7">
        <v>0.86199999999999999</v>
      </c>
      <c r="U59" s="7">
        <v>1.3939999999999999</v>
      </c>
      <c r="V59" s="7"/>
      <c r="W59" s="7"/>
      <c r="X59" s="7"/>
      <c r="Y59" s="7"/>
      <c r="Z59" s="7" t="e" cm="1">
        <f t="array" ref="Z59">STABW</f>
        <v>#NAME?</v>
      </c>
      <c r="AA59" s="7"/>
      <c r="AB59" s="7"/>
      <c r="AC59" s="7" t="e">
        <f>Tabelle15638[[#This Row],[Standardabweichung 1]]/Tabelle15638[[#This Row],[Mean Visc. 1 '[mPas']]]</f>
        <v>#NAME?</v>
      </c>
      <c r="AD59" s="7" t="e">
        <f>Tabelle156[[#This Row],[Standardabweichung 2]]/Tabelle156[[#This Row],[Mean Visc. 2 '[mPas']2]]</f>
        <v>#DIV/0!</v>
      </c>
      <c r="AE59" s="7" t="e">
        <f>Tabelle156[[#This Row],[Standardabweichung 3]]/Tabelle156[[#This Row],[Mean Visc. 3 '[mPas']3]]</f>
        <v>#DIV/0!</v>
      </c>
      <c r="AF59" s="7"/>
      <c r="AG59" s="7" t="e">
        <f>1-Tabelle15638[[#This Row],[Mean Visc. 1 '[mPas']]]/#REF!</f>
        <v>#REF!</v>
      </c>
      <c r="AH59" s="7"/>
      <c r="AI59" s="7"/>
    </row>
    <row r="60" spans="1:35" x14ac:dyDescent="0.3">
      <c r="A60">
        <v>59</v>
      </c>
      <c r="B60" s="4"/>
      <c r="C60" s="5"/>
      <c r="D60" s="7">
        <v>2</v>
      </c>
      <c r="E60" t="s">
        <v>169</v>
      </c>
      <c r="F60" t="s">
        <v>172</v>
      </c>
      <c r="G60" s="7" t="s">
        <v>188</v>
      </c>
      <c r="H60" s="12">
        <v>46063</v>
      </c>
      <c r="I60" s="9" t="s">
        <v>12</v>
      </c>
      <c r="J60" s="7">
        <v>25.7</v>
      </c>
      <c r="K60" s="7">
        <v>28</v>
      </c>
      <c r="L60" s="7">
        <v>30.48</v>
      </c>
      <c r="M60" s="7">
        <v>381</v>
      </c>
      <c r="N60" s="7">
        <f>Tabelle15638[[#This Row],[Anzahl Frames]]/Tabelle15638[[#This Row],[Aufnahmezeit '[s']]]</f>
        <v>12.5</v>
      </c>
      <c r="O60" s="7">
        <f>1/Tabelle15638[[#This Row],[Mean fps ]]</f>
        <v>0.08</v>
      </c>
      <c r="P60" s="7">
        <v>40</v>
      </c>
      <c r="S60" s="7">
        <v>0.874</v>
      </c>
      <c r="T60" s="7">
        <v>0.74299999999999999</v>
      </c>
      <c r="U60" s="7">
        <v>1.37</v>
      </c>
      <c r="V60" s="7"/>
      <c r="W60" s="7"/>
      <c r="X60" s="7"/>
      <c r="Y60" s="7"/>
      <c r="Z60" s="7" t="e" cm="1">
        <f t="array" ref="Z60">STABW</f>
        <v>#NAME?</v>
      </c>
      <c r="AA60" s="7"/>
      <c r="AB60" s="7"/>
      <c r="AC60" s="7" t="e">
        <f>Tabelle15638[[#This Row],[Standardabweichung 1]]/Tabelle15638[[#This Row],[Mean Visc. 1 '[mPas']]]</f>
        <v>#NAME?</v>
      </c>
      <c r="AD60" s="7" t="e">
        <f>Tabelle156[[#This Row],[Standardabweichung 2]]/Tabelle156[[#This Row],[Mean Visc. 2 '[mPas']2]]</f>
        <v>#DIV/0!</v>
      </c>
      <c r="AE60" s="7" t="e">
        <f>Tabelle156[[#This Row],[Standardabweichung 3]]/Tabelle156[[#This Row],[Mean Visc. 3 '[mPas']3]]</f>
        <v>#DIV/0!</v>
      </c>
      <c r="AF60" s="7"/>
      <c r="AG60" s="7" t="e">
        <f>1-Tabelle15638[[#This Row],[Mean Visc. 1 '[mPas']]]/#REF!</f>
        <v>#REF!</v>
      </c>
      <c r="AH60" s="7"/>
      <c r="AI60" s="7"/>
    </row>
    <row r="61" spans="1:35" s="14" customFormat="1" ht="15" thickBot="1" x14ac:dyDescent="0.35">
      <c r="A61">
        <v>60</v>
      </c>
      <c r="B61" s="15"/>
      <c r="C61" s="16"/>
      <c r="D61" s="7">
        <v>2</v>
      </c>
      <c r="E61" t="s">
        <v>169</v>
      </c>
      <c r="F61" t="s">
        <v>172</v>
      </c>
      <c r="G61" s="7" t="s">
        <v>188</v>
      </c>
      <c r="H61" s="12">
        <v>46063</v>
      </c>
      <c r="I61" s="9" t="s">
        <v>12</v>
      </c>
      <c r="J61" s="17">
        <v>25.7</v>
      </c>
      <c r="K61" s="17">
        <v>28</v>
      </c>
      <c r="L61" s="17">
        <v>28.78</v>
      </c>
      <c r="M61" s="17">
        <v>360</v>
      </c>
      <c r="N61" s="17">
        <f>Tabelle15638[[#This Row],[Anzahl Frames]]/Tabelle15638[[#This Row],[Aufnahmezeit '[s']]]</f>
        <v>12.508686587908269</v>
      </c>
      <c r="O61" s="17">
        <f>1/Tabelle15638[[#This Row],[Mean fps ]]</f>
        <v>7.9944444444444457E-2</v>
      </c>
      <c r="P61" s="17">
        <v>40</v>
      </c>
      <c r="Q61" s="20"/>
      <c r="R61" s="21"/>
      <c r="S61" s="17">
        <v>0.91500000000000004</v>
      </c>
      <c r="T61" s="17">
        <v>0.80100000000000005</v>
      </c>
      <c r="U61" s="17">
        <v>1.1879999999999999</v>
      </c>
      <c r="V61" s="17"/>
      <c r="W61" s="7">
        <f>SUM(S52:S61)/10</f>
        <v>0.96250000000000002</v>
      </c>
      <c r="X61" s="7">
        <f>SUM(T52:T61)/10</f>
        <v>0.8042999999999999</v>
      </c>
      <c r="Y61" s="7">
        <f t="shared" ref="Y61" si="11">SUM(U52:U61)/10</f>
        <v>1.3959999999999999</v>
      </c>
      <c r="Z61" s="17">
        <f>_xlfn.STDEV.S(S52:S61)</f>
        <v>6.7518310273748883E-2</v>
      </c>
      <c r="AA61" s="17">
        <f t="shared" ref="AA61" si="12">_xlfn.STDEV.S(T52:T61)</f>
        <v>4.4118653147569624E-2</v>
      </c>
      <c r="AB61" s="17">
        <f>_xlfn.STDEV.S(U52:U61)</f>
        <v>8.0978735205951183E-2</v>
      </c>
      <c r="AC61" s="17">
        <f>Tabelle15638[[#This Row],[Standardabweichung 1]]/Tabelle15638[[#This Row],[Mean Visc. 1 '[mPas']]]</f>
        <v>7.0148893790907926E-2</v>
      </c>
      <c r="AD61" s="17">
        <f>Tabelle15638[[#This Row],[Standardabweichung 2]]/Tabelle15638[[#This Row],[Mean Visc. 2 '[mPas']2]]</f>
        <v>5.4853478984918103E-2</v>
      </c>
      <c r="AE61" s="17">
        <f>Tabelle15638[[#This Row],[Standardabweichung 3]]/Tabelle15638[[#This Row],[Mean Visc. 3 '[mPas']3]]</f>
        <v>5.8007689975609733E-2</v>
      </c>
      <c r="AF61" s="17"/>
      <c r="AG61" s="17" t="e">
        <f>1-Tabelle15638[[#This Row],[Mean Visc. 1 '[mPas']]]/#REF!</f>
        <v>#REF!</v>
      </c>
      <c r="AH61" s="17"/>
      <c r="AI61" s="17"/>
    </row>
    <row r="62" spans="1:35" ht="15" thickTop="1" x14ac:dyDescent="0.3">
      <c r="A62">
        <v>61</v>
      </c>
      <c r="B62" s="4"/>
      <c r="C62" s="5"/>
      <c r="D62" s="7">
        <v>3</v>
      </c>
      <c r="E62" t="s">
        <v>174</v>
      </c>
      <c r="F62" t="s">
        <v>166</v>
      </c>
      <c r="G62" s="7" t="s">
        <v>186</v>
      </c>
      <c r="J62" s="7">
        <v>22.6</v>
      </c>
      <c r="K62" s="7">
        <v>28</v>
      </c>
      <c r="L62" s="7">
        <v>29.78</v>
      </c>
      <c r="M62" s="7">
        <v>376</v>
      </c>
      <c r="N62" s="7">
        <f>Tabelle15638[[#This Row],[Anzahl Frames]]/Tabelle15638[[#This Row],[Aufnahmezeit '[s']]]</f>
        <v>12.625923438549362</v>
      </c>
      <c r="O62" s="7">
        <f>1/Tabelle15638[[#This Row],[Mean fps ]]</f>
        <v>7.9202127659574462E-2</v>
      </c>
      <c r="P62" s="7">
        <v>40</v>
      </c>
      <c r="S62" s="7">
        <v>1.5</v>
      </c>
      <c r="T62" s="7">
        <v>1.19</v>
      </c>
      <c r="U62" s="7">
        <v>1.8540000000000001</v>
      </c>
      <c r="V62" s="7"/>
      <c r="W62" s="7"/>
      <c r="X62" s="7"/>
      <c r="Y62" s="7"/>
      <c r="Z62" s="7" t="e" cm="1">
        <f t="array" ref="Z62">STABW</f>
        <v>#NAME?</v>
      </c>
      <c r="AA62" s="7"/>
      <c r="AB62" s="7"/>
      <c r="AC62" s="7" t="e">
        <f>Tabelle15638[[#This Row],[Standardabweichung 1]]/Tabelle15638[[#This Row],[Mean Visc. 1 '[mPas']]]</f>
        <v>#NAME?</v>
      </c>
      <c r="AD62" s="7" t="e">
        <f>Tabelle156[[#This Row],[Standardabweichung 2]]/Tabelle156[[#This Row],[Mean Visc. 2 '[mPas']2]]</f>
        <v>#DIV/0!</v>
      </c>
      <c r="AE62" s="7" t="e">
        <f>Tabelle156[[#This Row],[Standardabweichung 3]]/Tabelle156[[#This Row],[Mean Visc. 3 '[mPas']3]]</f>
        <v>#DIV/0!</v>
      </c>
      <c r="AF62" s="7"/>
      <c r="AG62" s="7" t="e">
        <f>1-Tabelle15638[[#This Row],[Mean Visc. 1 '[mPas']]]/#REF!</f>
        <v>#REF!</v>
      </c>
      <c r="AH62" s="7"/>
      <c r="AI62" s="7"/>
    </row>
    <row r="63" spans="1:35" x14ac:dyDescent="0.3">
      <c r="A63">
        <v>62</v>
      </c>
      <c r="B63" s="4"/>
      <c r="C63" s="5"/>
      <c r="D63" s="7">
        <v>3</v>
      </c>
      <c r="E63" t="s">
        <v>174</v>
      </c>
      <c r="F63" t="s">
        <v>166</v>
      </c>
      <c r="G63" s="7" t="s">
        <v>186</v>
      </c>
      <c r="J63" s="7">
        <v>22.9</v>
      </c>
      <c r="K63" s="7">
        <v>28</v>
      </c>
      <c r="L63" s="7">
        <v>30.8</v>
      </c>
      <c r="M63" s="7">
        <v>386</v>
      </c>
      <c r="N63" s="7">
        <f>Tabelle15638[[#This Row],[Anzahl Frames]]/Tabelle15638[[#This Row],[Aufnahmezeit '[s']]]</f>
        <v>12.532467532467532</v>
      </c>
      <c r="O63" s="7">
        <f>1/Tabelle15638[[#This Row],[Mean fps ]]</f>
        <v>7.9792746113989635E-2</v>
      </c>
      <c r="P63" s="7">
        <v>40</v>
      </c>
      <c r="S63" s="7">
        <v>1.4119999999999999</v>
      </c>
      <c r="T63" s="7">
        <v>1.085</v>
      </c>
      <c r="U63" s="7">
        <v>1.839</v>
      </c>
      <c r="V63" s="7"/>
      <c r="W63" s="7"/>
      <c r="X63" s="7"/>
      <c r="Y63" s="7"/>
      <c r="Z63" s="7" t="e" cm="1">
        <f t="array" ref="Z63">STABW</f>
        <v>#NAME?</v>
      </c>
      <c r="AA63" s="7"/>
      <c r="AB63" s="7"/>
      <c r="AC63" s="7" t="e">
        <f>Tabelle15638[[#This Row],[Standardabweichung 1]]/Tabelle15638[[#This Row],[Mean Visc. 1 '[mPas']]]</f>
        <v>#NAME?</v>
      </c>
      <c r="AD63" s="7" t="e">
        <f>Tabelle156[[#This Row],[Standardabweichung 2]]/Tabelle156[[#This Row],[Mean Visc. 2 '[mPas']2]]</f>
        <v>#DIV/0!</v>
      </c>
      <c r="AE63" s="7" t="e">
        <f>Tabelle156[[#This Row],[Standardabweichung 3]]/Tabelle156[[#This Row],[Mean Visc. 3 '[mPas']3]]</f>
        <v>#DIV/0!</v>
      </c>
      <c r="AF63" s="7"/>
      <c r="AG63" s="7" t="e">
        <f>1-Tabelle15638[[#This Row],[Mean Visc. 1 '[mPas']]]/#REF!</f>
        <v>#REF!</v>
      </c>
      <c r="AH63" s="7"/>
      <c r="AI63" s="7"/>
    </row>
    <row r="64" spans="1:35" s="7" customFormat="1" x14ac:dyDescent="0.3">
      <c r="A64">
        <v>63</v>
      </c>
      <c r="B64" s="4"/>
      <c r="C64" s="5"/>
      <c r="D64" s="7">
        <v>3</v>
      </c>
      <c r="E64" t="s">
        <v>174</v>
      </c>
      <c r="F64" t="s">
        <v>166</v>
      </c>
      <c r="G64" s="7" t="s">
        <v>186</v>
      </c>
      <c r="H64" s="11"/>
      <c r="I64" s="9"/>
      <c r="J64" s="7">
        <v>23.1</v>
      </c>
      <c r="K64" s="7">
        <v>28</v>
      </c>
      <c r="L64" s="7">
        <v>31.04</v>
      </c>
      <c r="M64" s="7">
        <v>388</v>
      </c>
      <c r="N64" s="7">
        <f>Tabelle15638[[#This Row],[Anzahl Frames]]/Tabelle15638[[#This Row],[Aufnahmezeit '[s']]]</f>
        <v>12.5</v>
      </c>
      <c r="O64" s="7">
        <f>1/Tabelle15638[[#This Row],[Mean fps ]]</f>
        <v>0.08</v>
      </c>
      <c r="P64" s="7">
        <v>40</v>
      </c>
      <c r="Q64" s="3"/>
      <c r="R64" s="11"/>
      <c r="S64" s="7">
        <v>1.2629999999999999</v>
      </c>
      <c r="T64" s="7">
        <v>1.0529999999999999</v>
      </c>
      <c r="U64" s="7">
        <v>1.8420000000000001</v>
      </c>
      <c r="Z64" s="7" t="e" cm="1">
        <f t="array" ref="Z64">STABW</f>
        <v>#NAME?</v>
      </c>
      <c r="AC64" s="7" t="e">
        <f>Tabelle15638[[#This Row],[Standardabweichung 1]]/Tabelle15638[[#This Row],[Mean Visc. 1 '[mPas']]]</f>
        <v>#NAME?</v>
      </c>
      <c r="AD64" s="7" t="e">
        <f>Tabelle156[[#This Row],[Standardabweichung 2]]/Tabelle156[[#This Row],[Mean Visc. 2 '[mPas']2]]</f>
        <v>#DIV/0!</v>
      </c>
      <c r="AE64" s="7" t="e">
        <f>Tabelle156[[#This Row],[Standardabweichung 3]]/Tabelle156[[#This Row],[Mean Visc. 3 '[mPas']3]]</f>
        <v>#DIV/0!</v>
      </c>
      <c r="AG64" s="7" t="e">
        <f>1-Tabelle15638[[#This Row],[Mean Visc. 1 '[mPas']]]/#REF!</f>
        <v>#REF!</v>
      </c>
    </row>
    <row r="65" spans="1:35" s="7" customFormat="1" x14ac:dyDescent="0.3">
      <c r="A65">
        <v>64</v>
      </c>
      <c r="B65" s="4"/>
      <c r="C65" s="5"/>
      <c r="D65" s="7">
        <v>3</v>
      </c>
      <c r="E65" t="s">
        <v>174</v>
      </c>
      <c r="F65" t="s">
        <v>166</v>
      </c>
      <c r="G65" s="7" t="s">
        <v>186</v>
      </c>
      <c r="H65" s="11"/>
      <c r="I65" s="9"/>
      <c r="J65" s="7">
        <v>23.2</v>
      </c>
      <c r="K65" s="7">
        <v>28</v>
      </c>
      <c r="L65" s="7">
        <v>31.6</v>
      </c>
      <c r="M65" s="7">
        <v>395</v>
      </c>
      <c r="N65" s="7">
        <f>Tabelle15638[[#This Row],[Anzahl Frames]]/Tabelle15638[[#This Row],[Aufnahmezeit '[s']]]</f>
        <v>12.5</v>
      </c>
      <c r="O65" s="7">
        <f>1/Tabelle15638[[#This Row],[Mean fps ]]</f>
        <v>0.08</v>
      </c>
      <c r="P65" s="7">
        <v>40</v>
      </c>
      <c r="Q65" s="3"/>
      <c r="R65" s="11"/>
      <c r="S65" s="7">
        <v>1.3069999999999999</v>
      </c>
      <c r="T65" s="7">
        <v>1.0680000000000001</v>
      </c>
      <c r="U65" s="7">
        <v>1.8620000000000001</v>
      </c>
      <c r="Z65" s="7" t="e" cm="1">
        <f t="array" ref="Z65">STABW</f>
        <v>#NAME?</v>
      </c>
      <c r="AC65" s="7" t="e">
        <f>Tabelle15638[[#This Row],[Standardabweichung 1]]/Tabelle15638[[#This Row],[Mean Visc. 1 '[mPas']]]</f>
        <v>#NAME?</v>
      </c>
      <c r="AD65" s="7" t="e">
        <f>Tabelle156[[#This Row],[Standardabweichung 2]]/Tabelle156[[#This Row],[Mean Visc. 2 '[mPas']2]]</f>
        <v>#DIV/0!</v>
      </c>
      <c r="AE65" s="7" t="e">
        <f>Tabelle156[[#This Row],[Standardabweichung 3]]/Tabelle156[[#This Row],[Mean Visc. 3 '[mPas']3]]</f>
        <v>#DIV/0!</v>
      </c>
      <c r="AG65" s="7" t="e">
        <f>1-Tabelle15638[[#This Row],[Mean Visc. 1 '[mPas']]]/#REF!</f>
        <v>#REF!</v>
      </c>
    </row>
    <row r="66" spans="1:35" s="17" customFormat="1" ht="15" thickBot="1" x14ac:dyDescent="0.35">
      <c r="A66">
        <v>65</v>
      </c>
      <c r="B66" s="15"/>
      <c r="C66" s="16"/>
      <c r="D66" s="7">
        <v>3</v>
      </c>
      <c r="E66" t="s">
        <v>174</v>
      </c>
      <c r="F66" t="s">
        <v>166</v>
      </c>
      <c r="G66" s="7" t="s">
        <v>186</v>
      </c>
      <c r="H66" s="21"/>
      <c r="I66" s="9"/>
      <c r="J66" s="17">
        <v>23.2</v>
      </c>
      <c r="K66" s="17">
        <v>28</v>
      </c>
      <c r="L66" s="17">
        <v>30.4</v>
      </c>
      <c r="M66" s="17">
        <v>380</v>
      </c>
      <c r="N66" s="7">
        <f>Tabelle15638[[#This Row],[Anzahl Frames]]/Tabelle15638[[#This Row],[Aufnahmezeit '[s']]]</f>
        <v>12.5</v>
      </c>
      <c r="O66" s="7">
        <f>1/Tabelle15638[[#This Row],[Mean fps ]]</f>
        <v>0.08</v>
      </c>
      <c r="P66" s="17">
        <v>40</v>
      </c>
      <c r="Q66" s="20"/>
      <c r="R66" s="21"/>
      <c r="S66" s="17">
        <v>1.4</v>
      </c>
      <c r="T66" s="17">
        <v>1.1830000000000001</v>
      </c>
      <c r="U66" s="17">
        <v>1.9139999999999999</v>
      </c>
      <c r="V66" s="7"/>
      <c r="W66" s="7"/>
      <c r="X66" s="7"/>
      <c r="Y66" s="7"/>
      <c r="Z66" s="7" t="e" cm="1">
        <f t="array" ref="Z66">STABW</f>
        <v>#NAME?</v>
      </c>
      <c r="AA66" s="7"/>
      <c r="AB66" s="7"/>
      <c r="AC66" s="7" t="e">
        <f>Tabelle15638[[#This Row],[Standardabweichung 1]]/Tabelle15638[[#This Row],[Mean Visc. 1 '[mPas']]]</f>
        <v>#NAME?</v>
      </c>
      <c r="AD66" s="7" t="e">
        <f>Tabelle156[[#This Row],[Standardabweichung 2]]/Tabelle156[[#This Row],[Mean Visc. 2 '[mPas']2]]</f>
        <v>#DIV/0!</v>
      </c>
      <c r="AE66" s="7" t="e">
        <f>Tabelle156[[#This Row],[Standardabweichung 3]]/Tabelle156[[#This Row],[Mean Visc. 3 '[mPas']3]]</f>
        <v>#DIV/0!</v>
      </c>
      <c r="AF66" s="7"/>
      <c r="AG66" s="7" t="e">
        <f>1-Tabelle15638[[#This Row],[Mean Visc. 1 '[mPas']]]/#REF!</f>
        <v>#REF!</v>
      </c>
      <c r="AH66" s="7"/>
      <c r="AI66" s="7"/>
    </row>
    <row r="67" spans="1:35" s="7" customFormat="1" ht="15" thickTop="1" x14ac:dyDescent="0.3">
      <c r="A67">
        <v>66</v>
      </c>
      <c r="B67" s="4"/>
      <c r="C67" s="5"/>
      <c r="D67" s="7">
        <v>3</v>
      </c>
      <c r="E67" t="s">
        <v>174</v>
      </c>
      <c r="F67" t="s">
        <v>166</v>
      </c>
      <c r="G67" s="7" t="s">
        <v>186</v>
      </c>
      <c r="H67" s="11"/>
      <c r="I67" s="9"/>
      <c r="J67" s="7">
        <v>23.4</v>
      </c>
      <c r="K67" s="7">
        <v>28</v>
      </c>
      <c r="L67" s="7">
        <v>30.08</v>
      </c>
      <c r="M67" s="7">
        <v>377</v>
      </c>
      <c r="N67" s="7">
        <f>Tabelle15638[[#This Row],[Anzahl Frames]]/Tabelle15638[[#This Row],[Aufnahmezeit '[s']]]</f>
        <v>12.533244680851064</v>
      </c>
      <c r="O67" s="7">
        <f>1/Tabelle15638[[#This Row],[Mean fps ]]</f>
        <v>7.9787798408488056E-2</v>
      </c>
      <c r="P67" s="7">
        <v>40</v>
      </c>
      <c r="Q67" s="3"/>
      <c r="R67" s="11"/>
      <c r="S67" s="7">
        <v>1.34</v>
      </c>
      <c r="T67" s="7">
        <v>1.1160000000000001</v>
      </c>
      <c r="U67" s="7">
        <v>1.8580000000000001</v>
      </c>
      <c r="Z67" s="7" t="e" cm="1">
        <f t="array" ref="Z67">STABW</f>
        <v>#NAME?</v>
      </c>
      <c r="AC67" s="7" t="e">
        <f>Tabelle15638[[#This Row],[Standardabweichung 1]]/Tabelle15638[[#This Row],[Mean Visc. 1 '[mPas']]]</f>
        <v>#NAME?</v>
      </c>
      <c r="AD67" s="7" t="e">
        <f>Tabelle156[[#This Row],[Standardabweichung 2]]/Tabelle156[[#This Row],[Mean Visc. 2 '[mPas']2]]</f>
        <v>#DIV/0!</v>
      </c>
      <c r="AE67" s="7" t="e">
        <f>Tabelle156[[#This Row],[Standardabweichung 3]]/Tabelle156[[#This Row],[Mean Visc. 3 '[mPas']3]]</f>
        <v>#DIV/0!</v>
      </c>
      <c r="AG67" s="7" t="e">
        <f>1-Tabelle15638[[#This Row],[Mean Visc. 1 '[mPas']]]/#REF!</f>
        <v>#REF!</v>
      </c>
    </row>
    <row r="68" spans="1:35" s="7" customFormat="1" x14ac:dyDescent="0.3">
      <c r="A68">
        <v>67</v>
      </c>
      <c r="B68" s="4"/>
      <c r="C68" s="5"/>
      <c r="D68" s="7">
        <v>3</v>
      </c>
      <c r="E68" t="s">
        <v>174</v>
      </c>
      <c r="F68" t="s">
        <v>166</v>
      </c>
      <c r="G68" s="7" t="s">
        <v>186</v>
      </c>
      <c r="H68" s="11"/>
      <c r="I68" s="9"/>
      <c r="J68" s="7">
        <v>23.5</v>
      </c>
      <c r="K68" s="7">
        <v>28</v>
      </c>
      <c r="L68" s="7">
        <v>33.61</v>
      </c>
      <c r="M68" s="7">
        <v>420</v>
      </c>
      <c r="N68" s="7">
        <f>Tabelle15638[[#This Row],[Anzahl Frames]]/Tabelle15638[[#This Row],[Aufnahmezeit '[s']]]</f>
        <v>12.496280868789052</v>
      </c>
      <c r="O68" s="7">
        <f>1/Tabelle15638[[#This Row],[Mean fps ]]</f>
        <v>8.0023809523809511E-2</v>
      </c>
      <c r="P68" s="7">
        <v>40</v>
      </c>
      <c r="Q68" s="3"/>
      <c r="R68" s="11"/>
      <c r="S68" s="7">
        <v>1.345</v>
      </c>
      <c r="T68" s="7">
        <v>1.0740000000000001</v>
      </c>
      <c r="U68" s="7">
        <v>1.8939999999999999</v>
      </c>
      <c r="Z68" s="7" t="e" cm="1">
        <f t="array" ref="Z68">STABW</f>
        <v>#NAME?</v>
      </c>
      <c r="AC68" s="7" t="e">
        <f>Tabelle15638[[#This Row],[Standardabweichung 1]]/Tabelle15638[[#This Row],[Mean Visc. 1 '[mPas']]]</f>
        <v>#NAME?</v>
      </c>
      <c r="AD68" s="7" t="e">
        <f>Tabelle156[[#This Row],[Standardabweichung 2]]/Tabelle156[[#This Row],[Mean Visc. 2 '[mPas']2]]</f>
        <v>#DIV/0!</v>
      </c>
      <c r="AE68" s="7" t="e">
        <f>Tabelle156[[#This Row],[Standardabweichung 3]]/Tabelle156[[#This Row],[Mean Visc. 3 '[mPas']3]]</f>
        <v>#DIV/0!</v>
      </c>
      <c r="AG68" s="7" t="e">
        <f>1-Tabelle15638[[#This Row],[Mean Visc. 1 '[mPas']]]/#REF!</f>
        <v>#REF!</v>
      </c>
    </row>
    <row r="69" spans="1:35" s="7" customFormat="1" x14ac:dyDescent="0.3">
      <c r="A69">
        <v>68</v>
      </c>
      <c r="B69" s="4"/>
      <c r="C69" s="5"/>
      <c r="D69" s="7">
        <v>3</v>
      </c>
      <c r="E69" t="s">
        <v>174</v>
      </c>
      <c r="F69" t="s">
        <v>166</v>
      </c>
      <c r="G69" s="7" t="s">
        <v>186</v>
      </c>
      <c r="H69" s="11"/>
      <c r="I69" s="9"/>
      <c r="J69" s="7">
        <v>23.5</v>
      </c>
      <c r="K69" s="7">
        <v>28</v>
      </c>
      <c r="L69" s="7">
        <v>33.119999999999997</v>
      </c>
      <c r="M69" s="7">
        <v>414</v>
      </c>
      <c r="N69" s="7">
        <f>Tabelle15638[[#This Row],[Anzahl Frames]]/Tabelle15638[[#This Row],[Aufnahmezeit '[s']]]</f>
        <v>12.500000000000002</v>
      </c>
      <c r="O69" s="7">
        <f>1/Tabelle15638[[#This Row],[Mean fps ]]</f>
        <v>7.9999999999999988E-2</v>
      </c>
      <c r="P69" s="7">
        <v>40</v>
      </c>
      <c r="Q69" s="3"/>
      <c r="R69" s="11"/>
      <c r="S69" s="7">
        <v>1.502</v>
      </c>
      <c r="T69" s="7">
        <v>1.194</v>
      </c>
      <c r="U69" s="7">
        <v>1.96</v>
      </c>
      <c r="Z69" s="7" t="e" cm="1">
        <f t="array" ref="Z69">STABW</f>
        <v>#NAME?</v>
      </c>
      <c r="AC69" s="7" t="e">
        <f>Tabelle15638[[#This Row],[Standardabweichung 1]]/Tabelle15638[[#This Row],[Mean Visc. 1 '[mPas']]]</f>
        <v>#NAME?</v>
      </c>
      <c r="AD69" s="7" t="e">
        <f>Tabelle156[[#This Row],[Standardabweichung 2]]/Tabelle156[[#This Row],[Mean Visc. 2 '[mPas']2]]</f>
        <v>#DIV/0!</v>
      </c>
      <c r="AE69" s="7" t="e">
        <f>Tabelle156[[#This Row],[Standardabweichung 3]]/Tabelle156[[#This Row],[Mean Visc. 3 '[mPas']3]]</f>
        <v>#DIV/0!</v>
      </c>
      <c r="AG69" s="7" t="e">
        <f>1-Tabelle15638[[#This Row],[Mean Visc. 1 '[mPas']]]/#REF!</f>
        <v>#REF!</v>
      </c>
    </row>
    <row r="70" spans="1:35" s="7" customFormat="1" x14ac:dyDescent="0.3">
      <c r="A70">
        <v>69</v>
      </c>
      <c r="B70" s="4"/>
      <c r="C70" s="5"/>
      <c r="D70" s="7">
        <v>3</v>
      </c>
      <c r="E70" t="s">
        <v>174</v>
      </c>
      <c r="F70" t="s">
        <v>166</v>
      </c>
      <c r="G70" s="7" t="s">
        <v>186</v>
      </c>
      <c r="H70" s="11"/>
      <c r="I70" s="9"/>
      <c r="J70" s="7">
        <v>23.6</v>
      </c>
      <c r="K70" s="7">
        <v>28</v>
      </c>
      <c r="L70" s="7">
        <v>30.98</v>
      </c>
      <c r="M70" s="7">
        <v>387</v>
      </c>
      <c r="N70" s="7">
        <f>Tabelle15638[[#This Row],[Anzahl Frames]]/Tabelle15638[[#This Row],[Aufnahmezeit '[s']]]</f>
        <v>12.491930277598451</v>
      </c>
      <c r="O70" s="7">
        <f>1/Tabelle15638[[#This Row],[Mean fps ]]</f>
        <v>8.0051679586563312E-2</v>
      </c>
      <c r="P70" s="7">
        <v>40</v>
      </c>
      <c r="Q70" s="3"/>
      <c r="R70" s="11"/>
      <c r="S70" s="7">
        <v>1.33</v>
      </c>
      <c r="T70" s="7">
        <v>1.0920000000000001</v>
      </c>
      <c r="U70" s="7">
        <v>1.8640000000000001</v>
      </c>
      <c r="Z70" s="7" t="e" cm="1">
        <f t="array" ref="Z70">STABW</f>
        <v>#NAME?</v>
      </c>
      <c r="AC70" s="7" t="e">
        <f>Tabelle15638[[#This Row],[Standardabweichung 1]]/Tabelle15638[[#This Row],[Mean Visc. 1 '[mPas']]]</f>
        <v>#NAME?</v>
      </c>
      <c r="AD70" s="7" t="e">
        <f>Tabelle156[[#This Row],[Standardabweichung 2]]/Tabelle156[[#This Row],[Mean Visc. 2 '[mPas']2]]</f>
        <v>#DIV/0!</v>
      </c>
      <c r="AE70" s="7" t="e">
        <f>Tabelle156[[#This Row],[Standardabweichung 3]]/Tabelle156[[#This Row],[Mean Visc. 3 '[mPas']3]]</f>
        <v>#DIV/0!</v>
      </c>
      <c r="AG70" s="7" t="e">
        <f>1-Tabelle15638[[#This Row],[Mean Visc. 1 '[mPas']]]/#REF!</f>
        <v>#REF!</v>
      </c>
    </row>
    <row r="71" spans="1:35" s="17" customFormat="1" ht="15" thickBot="1" x14ac:dyDescent="0.35">
      <c r="A71">
        <v>70</v>
      </c>
      <c r="B71" s="15"/>
      <c r="C71" s="16"/>
      <c r="D71" s="7">
        <v>3</v>
      </c>
      <c r="E71" t="s">
        <v>174</v>
      </c>
      <c r="F71" t="s">
        <v>166</v>
      </c>
      <c r="G71" s="7" t="s">
        <v>186</v>
      </c>
      <c r="H71" s="21"/>
      <c r="I71" s="19"/>
      <c r="J71" s="17">
        <v>23.6</v>
      </c>
      <c r="K71" s="17">
        <v>28</v>
      </c>
      <c r="L71" s="17">
        <v>30.72</v>
      </c>
      <c r="M71" s="17">
        <v>385</v>
      </c>
      <c r="N71" s="17">
        <f>Tabelle15638[[#This Row],[Anzahl Frames]]/Tabelle15638[[#This Row],[Aufnahmezeit '[s']]]</f>
        <v>12.532552083333334</v>
      </c>
      <c r="O71" s="17">
        <f>1/Tabelle15638[[#This Row],[Mean fps ]]</f>
        <v>7.9792207792207789E-2</v>
      </c>
      <c r="P71" s="17">
        <v>40</v>
      </c>
      <c r="Q71" s="20"/>
      <c r="R71" s="21"/>
      <c r="S71" s="17">
        <v>1.343</v>
      </c>
      <c r="T71" s="17">
        <v>1.083</v>
      </c>
      <c r="U71" s="17">
        <v>1.8220000000000001</v>
      </c>
      <c r="W71" s="7">
        <f>SUM(S62:S71)/10</f>
        <v>1.3742000000000001</v>
      </c>
      <c r="X71" s="7">
        <f>SUM(T62:T71)/10</f>
        <v>1.1138000000000001</v>
      </c>
      <c r="Y71" s="7">
        <f t="shared" ref="Y71" si="13">SUM(U62:U71)/10</f>
        <v>1.8709</v>
      </c>
      <c r="Z71" s="17">
        <f>_xlfn.STDEV.S(S62:S71)</f>
        <v>7.893992089628106E-2</v>
      </c>
      <c r="AA71" s="17">
        <f t="shared" ref="AA71" si="14">_xlfn.STDEV.S(T62:T71)</f>
        <v>5.4429975401631601E-2</v>
      </c>
      <c r="AB71" s="17">
        <f>_xlfn.STDEV.S(U62:U71)</f>
        <v>4.1032372043979512E-2</v>
      </c>
      <c r="AC71" s="17">
        <f>Tabelle15638[[#This Row],[Standardabweichung 1]]/Tabelle15638[[#This Row],[Mean Visc. 1 '[mPas']]]</f>
        <v>5.7444273683802255E-2</v>
      </c>
      <c r="AD71" s="17">
        <f>Tabelle15638[[#This Row],[Standardabweichung 2]]/Tabelle15638[[#This Row],[Mean Visc. 2 '[mPas']2]]</f>
        <v>4.8868715569789542E-2</v>
      </c>
      <c r="AE71" s="17">
        <f>Tabelle15638[[#This Row],[Standardabweichung 3]]/Tabelle15638[[#This Row],[Mean Visc. 3 '[mPas']3]]</f>
        <v>2.1931889488470527E-2</v>
      </c>
      <c r="AG71" s="17" t="e">
        <f>1-Tabelle15638[[#This Row],[Mean Visc. 1 '[mPas']]]/#REF!</f>
        <v>#REF!</v>
      </c>
    </row>
    <row r="72" spans="1:35" s="7" customFormat="1" ht="15" thickTop="1" x14ac:dyDescent="0.3">
      <c r="A72">
        <v>71</v>
      </c>
      <c r="B72" s="4"/>
      <c r="C72" s="5"/>
      <c r="D72" s="7">
        <v>3</v>
      </c>
      <c r="E72" t="s">
        <v>174</v>
      </c>
      <c r="F72" t="s">
        <v>166</v>
      </c>
      <c r="G72" s="7" t="s">
        <v>187</v>
      </c>
      <c r="H72" s="11"/>
      <c r="I72" s="9"/>
      <c r="J72" s="7">
        <v>24.3</v>
      </c>
      <c r="K72" s="7">
        <v>27</v>
      </c>
      <c r="L72" s="7">
        <v>33.119999999999997</v>
      </c>
      <c r="M72" s="7">
        <v>414</v>
      </c>
      <c r="N72" s="7">
        <f>Tabelle15638[[#This Row],[Anzahl Frames]]/Tabelle15638[[#This Row],[Aufnahmezeit '[s']]]</f>
        <v>12.500000000000002</v>
      </c>
      <c r="O72" s="7">
        <f>1/Tabelle15638[[#This Row],[Mean fps ]]</f>
        <v>7.9999999999999988E-2</v>
      </c>
      <c r="P72" s="7">
        <v>40</v>
      </c>
      <c r="Q72" s="3"/>
      <c r="R72" s="11"/>
      <c r="S72" s="7">
        <v>1.5189999999999999</v>
      </c>
      <c r="T72" s="7">
        <v>1.3180000000000001</v>
      </c>
      <c r="U72" s="7">
        <v>2.169</v>
      </c>
      <c r="Z72" s="7" t="e" cm="1">
        <f t="array" ref="Z72">STABW</f>
        <v>#NAME?</v>
      </c>
      <c r="AC72" s="7" t="e">
        <f>Tabelle15638[[#This Row],[Standardabweichung 1]]/Tabelle15638[[#This Row],[Mean Visc. 1 '[mPas']]]</f>
        <v>#NAME?</v>
      </c>
      <c r="AD72" s="7" t="e">
        <f>Tabelle156[[#This Row],[Standardabweichung 2]]/Tabelle156[[#This Row],[Mean Visc. 2 '[mPas']2]]</f>
        <v>#VALUE!</v>
      </c>
      <c r="AE72" s="7" t="e">
        <f>Tabelle156[[#This Row],[Standardabweichung 3]]/Tabelle156[[#This Row],[Mean Visc. 3 '[mPas']3]]</f>
        <v>#VALUE!</v>
      </c>
      <c r="AG72" s="7" t="e">
        <f>1-Tabelle15638[[#This Row],[Mean Visc. 1 '[mPas']]]/#REF!</f>
        <v>#REF!</v>
      </c>
    </row>
    <row r="73" spans="1:35" s="7" customFormat="1" x14ac:dyDescent="0.3">
      <c r="A73">
        <v>72</v>
      </c>
      <c r="B73" s="4"/>
      <c r="C73" s="5"/>
      <c r="D73" s="7">
        <v>3</v>
      </c>
      <c r="E73" t="s">
        <v>174</v>
      </c>
      <c r="F73" t="s">
        <v>166</v>
      </c>
      <c r="G73" s="7" t="s">
        <v>187</v>
      </c>
      <c r="H73" s="11"/>
      <c r="I73" s="9"/>
      <c r="J73" s="7">
        <v>24.4</v>
      </c>
      <c r="K73" s="7">
        <v>27</v>
      </c>
      <c r="L73" s="7">
        <v>32.39</v>
      </c>
      <c r="M73" s="7">
        <v>405</v>
      </c>
      <c r="N73" s="7">
        <f>Tabelle15638[[#This Row],[Anzahl Frames]]/Tabelle15638[[#This Row],[Aufnahmezeit '[s']]]</f>
        <v>12.503859215807347</v>
      </c>
      <c r="O73" s="7">
        <f>1/Tabelle15638[[#This Row],[Mean fps ]]</f>
        <v>7.9975308641975315E-2</v>
      </c>
      <c r="P73" s="7">
        <v>40</v>
      </c>
      <c r="Q73" s="3"/>
      <c r="R73" s="11"/>
      <c r="S73" s="7">
        <v>1.621</v>
      </c>
      <c r="T73" s="7">
        <v>1.1879999999999999</v>
      </c>
      <c r="U73" s="7">
        <v>2.214</v>
      </c>
      <c r="Z73" s="7" t="e" cm="1">
        <f t="array" ref="Z73">STABW</f>
        <v>#NAME?</v>
      </c>
      <c r="AC73" s="7" t="e">
        <f>Tabelle15638[[#This Row],[Standardabweichung 1]]/Tabelle15638[[#This Row],[Mean Visc. 1 '[mPas']]]</f>
        <v>#NAME?</v>
      </c>
      <c r="AD73" s="7" t="e">
        <f>Tabelle156[[#This Row],[Standardabweichung 2]]/Tabelle156[[#This Row],[Mean Visc. 2 '[mPas']2]]</f>
        <v>#VALUE!</v>
      </c>
      <c r="AE73" s="7" t="e">
        <f>Tabelle156[[#This Row],[Standardabweichung 3]]/Tabelle156[[#This Row],[Mean Visc. 3 '[mPas']3]]</f>
        <v>#VALUE!</v>
      </c>
      <c r="AG73" s="7" t="e">
        <f>1-Tabelle15638[[#This Row],[Mean Visc. 1 '[mPas']]]/#REF!</f>
        <v>#REF!</v>
      </c>
    </row>
    <row r="74" spans="1:35" s="7" customFormat="1" x14ac:dyDescent="0.3">
      <c r="A74">
        <v>73</v>
      </c>
      <c r="B74" s="4"/>
      <c r="C74" s="5"/>
      <c r="D74" s="7">
        <v>3</v>
      </c>
      <c r="E74" t="s">
        <v>174</v>
      </c>
      <c r="F74" t="s">
        <v>166</v>
      </c>
      <c r="G74" s="7" t="s">
        <v>187</v>
      </c>
      <c r="H74" s="11"/>
      <c r="I74" s="9"/>
      <c r="J74" s="7">
        <v>24.4</v>
      </c>
      <c r="K74" s="7">
        <v>27</v>
      </c>
      <c r="L74" s="7">
        <v>33.35</v>
      </c>
      <c r="M74" s="7">
        <v>417</v>
      </c>
      <c r="N74" s="7">
        <f>Tabelle15638[[#This Row],[Anzahl Frames]]/Tabelle15638[[#This Row],[Aufnahmezeit '[s']]]</f>
        <v>12.503748125937031</v>
      </c>
      <c r="O74" s="7">
        <f>1/Tabelle15638[[#This Row],[Mean fps ]]</f>
        <v>7.9976019184652275E-2</v>
      </c>
      <c r="P74" s="7">
        <v>40</v>
      </c>
      <c r="Q74" s="3"/>
      <c r="R74" s="11"/>
      <c r="S74" s="7">
        <v>1.589</v>
      </c>
      <c r="T74" s="7">
        <v>1.3220000000000001</v>
      </c>
      <c r="U74" s="7">
        <v>2.0979999999999999</v>
      </c>
      <c r="Z74" s="7" t="e" cm="1">
        <f t="array" ref="Z74">STABW</f>
        <v>#NAME?</v>
      </c>
      <c r="AC74" s="7" t="e">
        <f>Tabelle15638[[#This Row],[Standardabweichung 1]]/Tabelle15638[[#This Row],[Mean Visc. 1 '[mPas']]]</f>
        <v>#NAME?</v>
      </c>
      <c r="AD74" s="7" t="e">
        <f>Tabelle156[[#This Row],[Standardabweichung 2]]/Tabelle156[[#This Row],[Mean Visc. 2 '[mPas']2]]</f>
        <v>#VALUE!</v>
      </c>
      <c r="AE74" s="7" t="e">
        <f>Tabelle156[[#This Row],[Standardabweichung 3]]/Tabelle156[[#This Row],[Mean Visc. 3 '[mPas']3]]</f>
        <v>#VALUE!</v>
      </c>
      <c r="AG74" s="7" t="e">
        <f>1-Tabelle15638[[#This Row],[Mean Visc. 1 '[mPas']]]/#REF!</f>
        <v>#REF!</v>
      </c>
    </row>
    <row r="75" spans="1:35" s="7" customFormat="1" x14ac:dyDescent="0.3">
      <c r="A75">
        <v>74</v>
      </c>
      <c r="B75" s="4"/>
      <c r="C75" s="5"/>
      <c r="D75" s="7">
        <v>3</v>
      </c>
      <c r="E75" t="s">
        <v>174</v>
      </c>
      <c r="F75" t="s">
        <v>166</v>
      </c>
      <c r="G75" s="7" t="s">
        <v>187</v>
      </c>
      <c r="H75" s="11"/>
      <c r="I75" s="9"/>
      <c r="J75" s="7">
        <v>24.5</v>
      </c>
      <c r="K75" s="7">
        <v>27</v>
      </c>
      <c r="L75" s="7">
        <v>32.56</v>
      </c>
      <c r="M75" s="7">
        <v>407</v>
      </c>
      <c r="N75" s="7">
        <f>Tabelle15638[[#This Row],[Anzahl Frames]]/Tabelle15638[[#This Row],[Aufnahmezeit '[s']]]</f>
        <v>12.5</v>
      </c>
      <c r="O75" s="7">
        <f>1/Tabelle15638[[#This Row],[Mean fps ]]</f>
        <v>0.08</v>
      </c>
      <c r="P75" s="7">
        <v>40</v>
      </c>
      <c r="Q75" s="3"/>
      <c r="R75" s="11"/>
      <c r="S75" s="7">
        <v>1.504</v>
      </c>
      <c r="T75" s="7">
        <v>1.153</v>
      </c>
      <c r="U75" s="7">
        <v>2.0720000000000001</v>
      </c>
      <c r="Z75" s="7" t="e" cm="1">
        <f t="array" ref="Z75">STABW</f>
        <v>#NAME?</v>
      </c>
      <c r="AC75" s="7" t="e">
        <f>Tabelle15638[[#This Row],[Standardabweichung 1]]/Tabelle15638[[#This Row],[Mean Visc. 1 '[mPas']]]</f>
        <v>#NAME?</v>
      </c>
      <c r="AD75" s="7" t="e">
        <f>Tabelle156[[#This Row],[Standardabweichung 2]]/Tabelle156[[#This Row],[Mean Visc. 2 '[mPas']2]]</f>
        <v>#VALUE!</v>
      </c>
      <c r="AE75" s="7" t="e">
        <f>Tabelle156[[#This Row],[Standardabweichung 3]]/Tabelle156[[#This Row],[Mean Visc. 3 '[mPas']3]]</f>
        <v>#VALUE!</v>
      </c>
      <c r="AG75" s="7" t="e">
        <f>1-Tabelle15638[[#This Row],[Mean Visc. 1 '[mPas']]]/#REF!</f>
        <v>#REF!</v>
      </c>
    </row>
    <row r="76" spans="1:35" s="17" customFormat="1" ht="15" thickBot="1" x14ac:dyDescent="0.35">
      <c r="A76">
        <v>75</v>
      </c>
      <c r="B76" s="15"/>
      <c r="C76" s="16"/>
      <c r="D76" s="7">
        <v>3</v>
      </c>
      <c r="E76" t="s">
        <v>174</v>
      </c>
      <c r="F76" t="s">
        <v>166</v>
      </c>
      <c r="G76" s="7" t="s">
        <v>187</v>
      </c>
      <c r="H76" s="21"/>
      <c r="I76" s="19"/>
      <c r="J76" s="17">
        <v>24.5</v>
      </c>
      <c r="K76" s="17">
        <v>27</v>
      </c>
      <c r="L76" s="17">
        <v>30.88</v>
      </c>
      <c r="M76" s="17">
        <v>386</v>
      </c>
      <c r="N76" s="17">
        <f>Tabelle15638[[#This Row],[Anzahl Frames]]/Tabelle15638[[#This Row],[Aufnahmezeit '[s']]]</f>
        <v>12.5</v>
      </c>
      <c r="O76" s="17">
        <f>1/Tabelle15638[[#This Row],[Mean fps ]]</f>
        <v>0.08</v>
      </c>
      <c r="P76" s="17">
        <v>40</v>
      </c>
      <c r="Q76" s="20"/>
      <c r="R76" s="21"/>
      <c r="S76" s="17">
        <v>1.552</v>
      </c>
      <c r="T76" s="17">
        <v>1.242</v>
      </c>
      <c r="U76" s="17">
        <v>2.1890000000000001</v>
      </c>
      <c r="Z76" s="17" t="e" cm="1">
        <f t="array" ref="Z76">STABW</f>
        <v>#NAME?</v>
      </c>
      <c r="AC76" s="17" t="e">
        <f>Tabelle15638[[#This Row],[Standardabweichung 1]]/Tabelle15638[[#This Row],[Mean Visc. 1 '[mPas']]]</f>
        <v>#NAME?</v>
      </c>
      <c r="AD76" s="17" t="e">
        <f>Tabelle156[[#This Row],[Standardabweichung 2]]/Tabelle156[[#This Row],[Mean Visc. 2 '[mPas']2]]</f>
        <v>#VALUE!</v>
      </c>
      <c r="AE76" s="17" t="e">
        <f>Tabelle156[[#This Row],[Standardabweichung 3]]/Tabelle156[[#This Row],[Mean Visc. 3 '[mPas']3]]</f>
        <v>#VALUE!</v>
      </c>
      <c r="AG76" s="17" t="e">
        <f>1-Tabelle15638[[#This Row],[Mean Visc. 1 '[mPas']]]/#REF!</f>
        <v>#REF!</v>
      </c>
    </row>
    <row r="77" spans="1:35" s="7" customFormat="1" ht="15" thickTop="1" x14ac:dyDescent="0.3">
      <c r="A77">
        <v>76</v>
      </c>
      <c r="B77" s="4"/>
      <c r="C77" s="5"/>
      <c r="D77" s="7">
        <v>3</v>
      </c>
      <c r="E77" t="s">
        <v>174</v>
      </c>
      <c r="F77" t="s">
        <v>166</v>
      </c>
      <c r="G77" s="7" t="s">
        <v>187</v>
      </c>
      <c r="H77" s="11"/>
      <c r="I77" s="9"/>
      <c r="J77" s="7">
        <v>24.5</v>
      </c>
      <c r="K77" s="7">
        <v>27</v>
      </c>
      <c r="L77" s="7">
        <v>30.72</v>
      </c>
      <c r="M77" s="7">
        <v>385</v>
      </c>
      <c r="N77" s="7">
        <f>Tabelle15638[[#This Row],[Anzahl Frames]]/Tabelle15638[[#This Row],[Aufnahmezeit '[s']]]</f>
        <v>12.532552083333334</v>
      </c>
      <c r="O77" s="7">
        <f>1/Tabelle15638[[#This Row],[Mean fps ]]</f>
        <v>7.9792207792207789E-2</v>
      </c>
      <c r="P77" s="7">
        <v>40</v>
      </c>
      <c r="Q77" s="3"/>
      <c r="R77" s="11"/>
      <c r="S77" s="7">
        <v>1.6</v>
      </c>
      <c r="T77" s="7">
        <v>1.3380000000000001</v>
      </c>
      <c r="U77" s="7">
        <v>2.1509999999999998</v>
      </c>
      <c r="Z77" s="7" t="e" cm="1">
        <f t="array" ref="Z77">STABW</f>
        <v>#NAME?</v>
      </c>
      <c r="AC77" s="7" t="e">
        <f>Tabelle15638[[#This Row],[Standardabweichung 1]]/Tabelle15638[[#This Row],[Mean Visc. 1 '[mPas']]]</f>
        <v>#NAME?</v>
      </c>
      <c r="AD77" s="7" t="e">
        <f>Tabelle156[[#This Row],[Standardabweichung 2]]/Tabelle156[[#This Row],[Mean Visc. 2 '[mPas']2]]</f>
        <v>#VALUE!</v>
      </c>
      <c r="AE77" s="7" t="e">
        <f>Tabelle156[[#This Row],[Standardabweichung 3]]/Tabelle156[[#This Row],[Mean Visc. 3 '[mPas']3]]</f>
        <v>#VALUE!</v>
      </c>
      <c r="AG77" s="7" t="e">
        <f>1-Tabelle15638[[#This Row],[Mean Visc. 1 '[mPas']]]/#REF!</f>
        <v>#REF!</v>
      </c>
    </row>
    <row r="78" spans="1:35" s="7" customFormat="1" x14ac:dyDescent="0.3">
      <c r="A78">
        <v>77</v>
      </c>
      <c r="B78" s="4"/>
      <c r="C78" s="5"/>
      <c r="D78" s="7">
        <v>3</v>
      </c>
      <c r="E78" t="s">
        <v>174</v>
      </c>
      <c r="F78" t="s">
        <v>166</v>
      </c>
      <c r="G78" s="7" t="s">
        <v>187</v>
      </c>
      <c r="H78" s="11"/>
      <c r="I78" s="9"/>
      <c r="J78" s="7">
        <v>24.6</v>
      </c>
      <c r="K78" s="7">
        <v>27</v>
      </c>
      <c r="L78" s="7">
        <v>32.64</v>
      </c>
      <c r="M78" s="7">
        <v>408</v>
      </c>
      <c r="N78" s="7">
        <f>Tabelle15638[[#This Row],[Anzahl Frames]]/Tabelle15638[[#This Row],[Aufnahmezeit '[s']]]</f>
        <v>12.5</v>
      </c>
      <c r="O78" s="7">
        <f>1/Tabelle15638[[#This Row],[Mean fps ]]</f>
        <v>0.08</v>
      </c>
      <c r="P78" s="7">
        <v>40</v>
      </c>
      <c r="Q78" s="3"/>
      <c r="R78" s="11"/>
      <c r="S78" s="7">
        <v>1.5489999999999999</v>
      </c>
      <c r="T78" s="7">
        <v>1.1819999999999999</v>
      </c>
      <c r="U78" s="7">
        <v>2.1539999999999999</v>
      </c>
      <c r="Z78" s="7" t="e" cm="1">
        <f t="array" ref="Z78">STABW</f>
        <v>#NAME?</v>
      </c>
      <c r="AC78" s="7" t="e">
        <f>Tabelle15638[[#This Row],[Standardabweichung 1]]/Tabelle15638[[#This Row],[Mean Visc. 1 '[mPas']]]</f>
        <v>#NAME?</v>
      </c>
      <c r="AD78" s="7" t="e">
        <f>Tabelle156[[#This Row],[Standardabweichung 2]]/Tabelle156[[#This Row],[Mean Visc. 2 '[mPas']2]]</f>
        <v>#VALUE!</v>
      </c>
      <c r="AE78" s="7" t="e">
        <f>Tabelle156[[#This Row],[Standardabweichung 3]]/Tabelle156[[#This Row],[Mean Visc. 3 '[mPas']3]]</f>
        <v>#VALUE!</v>
      </c>
      <c r="AG78" s="7" t="e">
        <f>1-Tabelle15638[[#This Row],[Mean Visc. 1 '[mPas']]]/#REF!</f>
        <v>#REF!</v>
      </c>
    </row>
    <row r="79" spans="1:35" s="7" customFormat="1" x14ac:dyDescent="0.3">
      <c r="A79">
        <v>78</v>
      </c>
      <c r="B79" s="4"/>
      <c r="C79" s="5"/>
      <c r="D79" s="7">
        <v>3</v>
      </c>
      <c r="E79" t="s">
        <v>174</v>
      </c>
      <c r="F79" t="s">
        <v>166</v>
      </c>
      <c r="G79" s="7" t="s">
        <v>187</v>
      </c>
      <c r="H79" s="11"/>
      <c r="I79" s="9"/>
      <c r="J79" s="7">
        <v>24.6</v>
      </c>
      <c r="K79" s="7">
        <v>27</v>
      </c>
      <c r="L79" s="7">
        <v>34.96</v>
      </c>
      <c r="M79" s="7">
        <v>438</v>
      </c>
      <c r="N79" s="7">
        <f>Tabelle15638[[#This Row],[Anzahl Frames]]/Tabelle15638[[#This Row],[Aufnahmezeit '[s']]]</f>
        <v>12.528604118993135</v>
      </c>
      <c r="O79" s="7">
        <f>1/Tabelle15638[[#This Row],[Mean fps ]]</f>
        <v>7.9817351598173519E-2</v>
      </c>
      <c r="P79" s="7">
        <v>40</v>
      </c>
      <c r="Q79" s="3"/>
      <c r="R79" s="11"/>
      <c r="S79" s="7">
        <v>1.6319999999999999</v>
      </c>
      <c r="T79" s="7">
        <v>1.2829999999999999</v>
      </c>
      <c r="U79" s="7">
        <v>2.1579999999999999</v>
      </c>
      <c r="Z79" s="7" t="e" cm="1">
        <f t="array" ref="Z79">STABW</f>
        <v>#NAME?</v>
      </c>
      <c r="AC79" s="7" t="e">
        <f>Tabelle15638[[#This Row],[Standardabweichung 1]]/Tabelle15638[[#This Row],[Mean Visc. 1 '[mPas']]]</f>
        <v>#NAME?</v>
      </c>
      <c r="AD79" s="7" t="e">
        <f>Tabelle156[[#This Row],[Standardabweichung 2]]/Tabelle156[[#This Row],[Mean Visc. 2 '[mPas']2]]</f>
        <v>#VALUE!</v>
      </c>
      <c r="AE79" s="7" t="e">
        <f>Tabelle156[[#This Row],[Standardabweichung 3]]/Tabelle156[[#This Row],[Mean Visc. 3 '[mPas']3]]</f>
        <v>#VALUE!</v>
      </c>
      <c r="AG79" s="7" t="e">
        <f>1-Tabelle15638[[#This Row],[Mean Visc. 1 '[mPas']]]/#REF!</f>
        <v>#REF!</v>
      </c>
    </row>
    <row r="80" spans="1:35" s="7" customFormat="1" x14ac:dyDescent="0.3">
      <c r="A80">
        <v>79</v>
      </c>
      <c r="B80" s="4"/>
      <c r="C80" s="5"/>
      <c r="D80" s="7">
        <v>3</v>
      </c>
      <c r="E80" t="s">
        <v>174</v>
      </c>
      <c r="F80" t="s">
        <v>166</v>
      </c>
      <c r="G80" s="7" t="s">
        <v>187</v>
      </c>
      <c r="H80" s="11"/>
      <c r="I80" s="9"/>
      <c r="J80" s="7">
        <v>24.6</v>
      </c>
      <c r="K80" s="7">
        <v>27</v>
      </c>
      <c r="L80" s="7">
        <v>34</v>
      </c>
      <c r="M80" s="7">
        <v>426</v>
      </c>
      <c r="N80" s="7">
        <f>Tabelle15638[[#This Row],[Anzahl Frames]]/Tabelle15638[[#This Row],[Aufnahmezeit '[s']]]</f>
        <v>12.529411764705882</v>
      </c>
      <c r="O80" s="7">
        <f>1/Tabelle15638[[#This Row],[Mean fps ]]</f>
        <v>7.9812206572769953E-2</v>
      </c>
      <c r="P80" s="7">
        <v>40</v>
      </c>
      <c r="Q80" s="3"/>
      <c r="R80" s="11"/>
      <c r="S80" s="7">
        <v>1.6579999999999999</v>
      </c>
      <c r="T80" s="7">
        <v>1.3029999999999999</v>
      </c>
      <c r="U80" s="7">
        <v>2.2429999999999999</v>
      </c>
      <c r="Z80" s="7" t="e" cm="1">
        <f t="array" ref="Z80">STABW</f>
        <v>#NAME?</v>
      </c>
      <c r="AC80" s="7" t="e">
        <f>Tabelle15638[[#This Row],[Standardabweichung 1]]/Tabelle15638[[#This Row],[Mean Visc. 1 '[mPas']]]</f>
        <v>#NAME?</v>
      </c>
      <c r="AD80" s="7" t="e">
        <f>Tabelle156[[#This Row],[Standardabweichung 2]]/Tabelle156[[#This Row],[Mean Visc. 2 '[mPas']2]]</f>
        <v>#VALUE!</v>
      </c>
      <c r="AE80" s="7" t="e">
        <f>Tabelle156[[#This Row],[Standardabweichung 3]]/Tabelle156[[#This Row],[Mean Visc. 3 '[mPas']3]]</f>
        <v>#VALUE!</v>
      </c>
      <c r="AG80" s="7" t="e">
        <f>1-Tabelle15638[[#This Row],[Mean Visc. 1 '[mPas']]]/#REF!</f>
        <v>#REF!</v>
      </c>
    </row>
    <row r="81" spans="1:33" s="17" customFormat="1" ht="15" thickBot="1" x14ac:dyDescent="0.35">
      <c r="A81">
        <v>80</v>
      </c>
      <c r="B81" s="15"/>
      <c r="C81" s="16"/>
      <c r="D81" s="7">
        <v>3</v>
      </c>
      <c r="E81" t="s">
        <v>174</v>
      </c>
      <c r="F81" t="s">
        <v>166</v>
      </c>
      <c r="G81" s="7" t="s">
        <v>187</v>
      </c>
      <c r="H81" s="21"/>
      <c r="I81" s="19"/>
      <c r="J81" s="17">
        <v>24.7</v>
      </c>
      <c r="K81" s="17">
        <v>27</v>
      </c>
      <c r="L81" s="17">
        <v>30.32</v>
      </c>
      <c r="M81" s="17">
        <v>380</v>
      </c>
      <c r="N81" s="17">
        <f>Tabelle15638[[#This Row],[Anzahl Frames]]/Tabelle15638[[#This Row],[Aufnahmezeit '[s']]]</f>
        <v>12.532981530343008</v>
      </c>
      <c r="O81" s="17">
        <f>1/Tabelle15638[[#This Row],[Mean fps ]]</f>
        <v>7.9789473684210521E-2</v>
      </c>
      <c r="P81" s="17">
        <v>40</v>
      </c>
      <c r="Q81" s="20"/>
      <c r="R81" s="21"/>
      <c r="S81" s="17">
        <v>1.5820000000000001</v>
      </c>
      <c r="T81" s="17">
        <v>1.2509999999999999</v>
      </c>
      <c r="U81" s="17">
        <v>2.0870000000000002</v>
      </c>
      <c r="W81" s="7">
        <f>SUM(S72:S81)/10</f>
        <v>1.5805999999999998</v>
      </c>
      <c r="X81" s="7">
        <f>SUM(T72:T81)/10</f>
        <v>1.258</v>
      </c>
      <c r="Y81" s="7">
        <f t="shared" ref="Y81" si="15">SUM(U72:U81)/10</f>
        <v>2.1535000000000002</v>
      </c>
      <c r="Z81" s="17">
        <f>_xlfn.STDEV.S(S72:S81)</f>
        <v>4.9657046048090916E-2</v>
      </c>
      <c r="AA81" s="17">
        <f t="shared" ref="AA81" si="16">_xlfn.STDEV.S(T72:T81)</f>
        <v>6.561842559660952E-2</v>
      </c>
      <c r="AB81" s="17">
        <f>_xlfn.STDEV.S(U72:U81)</f>
        <v>5.5118559084536597E-2</v>
      </c>
      <c r="AC81" s="17">
        <f>Tabelle15638[[#This Row],[Standardabweichung 1]]/Tabelle15638[[#This Row],[Mean Visc. 1 '[mPas']]]</f>
        <v>3.1416579810256182E-2</v>
      </c>
      <c r="AD81" s="17">
        <f>Tabelle15638[[#This Row],[Standardabweichung 2]]/Tabelle15638[[#This Row],[Mean Visc. 2 '[mPas']2]]</f>
        <v>5.2160910649133162E-2</v>
      </c>
      <c r="AE81" s="17">
        <f>Tabelle15638[[#This Row],[Standardabweichung 3]]/Tabelle15638[[#This Row],[Mean Visc. 3 '[mPas']3]]</f>
        <v>2.5594873036701458E-2</v>
      </c>
      <c r="AG81" s="17" t="e">
        <f>1-Tabelle15638[[#This Row],[Mean Visc. 1 '[mPas']]]/#REF!</f>
        <v>#REF!</v>
      </c>
    </row>
    <row r="82" spans="1:33" s="7" customFormat="1" ht="15" thickTop="1" x14ac:dyDescent="0.3">
      <c r="A82">
        <v>81</v>
      </c>
      <c r="B82" s="4"/>
      <c r="C82" s="5"/>
      <c r="D82" s="7">
        <v>3</v>
      </c>
      <c r="E82" t="s">
        <v>174</v>
      </c>
      <c r="F82" t="s">
        <v>166</v>
      </c>
      <c r="G82" s="7" t="s">
        <v>188</v>
      </c>
      <c r="H82" s="11"/>
      <c r="I82" s="9"/>
      <c r="J82" s="7">
        <v>23.8</v>
      </c>
      <c r="K82" s="7">
        <v>28</v>
      </c>
      <c r="L82" s="7">
        <v>33.369999999999997</v>
      </c>
      <c r="M82" s="7">
        <v>417</v>
      </c>
      <c r="N82" s="7">
        <f>Tabelle15638[[#This Row],[Anzahl Frames]]/Tabelle15638[[#This Row],[Aufnahmezeit '[s']]]</f>
        <v>12.496254120467487</v>
      </c>
      <c r="O82" s="7">
        <f>1/Tabelle15638[[#This Row],[Mean fps ]]</f>
        <v>8.0023980815347714E-2</v>
      </c>
      <c r="P82" s="7">
        <v>40</v>
      </c>
      <c r="Q82" s="3"/>
      <c r="R82" s="11"/>
      <c r="S82" s="7">
        <v>0.92100000000000004</v>
      </c>
      <c r="T82" s="7">
        <v>0.74299999999999999</v>
      </c>
      <c r="U82" s="7">
        <v>1.379</v>
      </c>
      <c r="Z82" s="7" t="e" cm="1">
        <f t="array" ref="Z82">STABW</f>
        <v>#NAME?</v>
      </c>
      <c r="AC82" s="7" t="e">
        <f>Tabelle15638[[#This Row],[Standardabweichung 1]]/Tabelle15638[[#This Row],[Mean Visc. 1 '[mPas']]]</f>
        <v>#NAME?</v>
      </c>
      <c r="AD82" s="7" t="e">
        <f>Tabelle156[[#This Row],[Standardabweichung 2]]/Tabelle156[[#This Row],[Mean Visc. 2 '[mPas']2]]</f>
        <v>#VALUE!</v>
      </c>
      <c r="AE82" s="7" t="e">
        <f>Tabelle156[[#This Row],[Standardabweichung 3]]/Tabelle156[[#This Row],[Mean Visc. 3 '[mPas']3]]</f>
        <v>#VALUE!</v>
      </c>
      <c r="AG82" s="7" t="e">
        <f>1-Tabelle15638[[#This Row],[Mean Visc. 1 '[mPas']]]/#REF!</f>
        <v>#REF!</v>
      </c>
    </row>
    <row r="83" spans="1:33" s="7" customFormat="1" x14ac:dyDescent="0.3">
      <c r="A83">
        <v>82</v>
      </c>
      <c r="B83" s="4"/>
      <c r="C83" s="5"/>
      <c r="D83" s="7">
        <v>3</v>
      </c>
      <c r="E83" t="s">
        <v>174</v>
      </c>
      <c r="F83" t="s">
        <v>166</v>
      </c>
      <c r="G83" s="7" t="s">
        <v>188</v>
      </c>
      <c r="H83" s="11"/>
      <c r="I83" s="9"/>
      <c r="J83" s="7">
        <v>23.9</v>
      </c>
      <c r="K83" s="7">
        <v>28</v>
      </c>
      <c r="L83" s="7">
        <v>32.32</v>
      </c>
      <c r="M83" s="7">
        <v>404</v>
      </c>
      <c r="N83" s="7">
        <f>Tabelle15638[[#This Row],[Anzahl Frames]]/Tabelle15638[[#This Row],[Aufnahmezeit '[s']]]</f>
        <v>12.5</v>
      </c>
      <c r="O83" s="7">
        <f>1/Tabelle15638[[#This Row],[Mean fps ]]</f>
        <v>0.08</v>
      </c>
      <c r="P83" s="7">
        <v>40</v>
      </c>
      <c r="Q83" s="3"/>
      <c r="R83" s="11"/>
      <c r="S83" s="7">
        <v>0.87</v>
      </c>
      <c r="T83" s="7">
        <v>0.72599999999999998</v>
      </c>
      <c r="U83" s="7">
        <v>1.4</v>
      </c>
      <c r="Z83" s="7" t="e" cm="1">
        <f t="array" ref="Z83">STABW</f>
        <v>#NAME?</v>
      </c>
      <c r="AC83" s="7" t="e">
        <f>Tabelle15638[[#This Row],[Standardabweichung 1]]/Tabelle15638[[#This Row],[Mean Visc. 1 '[mPas']]]</f>
        <v>#NAME?</v>
      </c>
      <c r="AD83" s="7" t="e">
        <f>Tabelle156[[#This Row],[Standardabweichung 2]]/Tabelle156[[#This Row],[Mean Visc. 2 '[mPas']2]]</f>
        <v>#VALUE!</v>
      </c>
      <c r="AE83" s="7" t="e">
        <f>Tabelle156[[#This Row],[Standardabweichung 3]]/Tabelle156[[#This Row],[Mean Visc. 3 '[mPas']3]]</f>
        <v>#VALUE!</v>
      </c>
      <c r="AG83" s="7" t="e">
        <f>1-Tabelle15638[[#This Row],[Mean Visc. 1 '[mPas']]]/#REF!</f>
        <v>#REF!</v>
      </c>
    </row>
    <row r="84" spans="1:33" s="7" customFormat="1" x14ac:dyDescent="0.3">
      <c r="A84">
        <v>83</v>
      </c>
      <c r="B84" s="4"/>
      <c r="C84" s="5"/>
      <c r="D84" s="7">
        <v>3</v>
      </c>
      <c r="E84" t="s">
        <v>174</v>
      </c>
      <c r="F84" t="s">
        <v>166</v>
      </c>
      <c r="G84" s="7" t="s">
        <v>188</v>
      </c>
      <c r="H84" s="11"/>
      <c r="I84" s="9"/>
      <c r="J84" s="7">
        <v>23.9</v>
      </c>
      <c r="K84" s="7">
        <v>28</v>
      </c>
      <c r="L84" s="7">
        <v>31.04</v>
      </c>
      <c r="M84" s="7">
        <v>389</v>
      </c>
      <c r="N84" s="7">
        <f>Tabelle15638[[#This Row],[Anzahl Frames]]/Tabelle15638[[#This Row],[Aufnahmezeit '[s']]]</f>
        <v>12.532216494845361</v>
      </c>
      <c r="O84" s="7">
        <f>1/Tabelle15638[[#This Row],[Mean fps ]]</f>
        <v>7.9794344473007706E-2</v>
      </c>
      <c r="P84" s="7">
        <v>40</v>
      </c>
      <c r="Q84" s="3"/>
      <c r="R84" s="11"/>
      <c r="S84" s="7">
        <v>0.86799999999999999</v>
      </c>
      <c r="T84" s="7">
        <v>0.76500000000000001</v>
      </c>
      <c r="U84" s="7">
        <v>1.373</v>
      </c>
      <c r="Z84" s="7" t="e" cm="1">
        <f t="array" ref="Z84">STABW</f>
        <v>#NAME?</v>
      </c>
      <c r="AC84" s="7" t="e">
        <f>Tabelle15638[[#This Row],[Standardabweichung 1]]/Tabelle15638[[#This Row],[Mean Visc. 1 '[mPas']]]</f>
        <v>#NAME?</v>
      </c>
      <c r="AD84" s="7" t="e">
        <f>Tabelle156[[#This Row],[Standardabweichung 2]]/Tabelle156[[#This Row],[Mean Visc. 2 '[mPas']2]]</f>
        <v>#VALUE!</v>
      </c>
      <c r="AE84" s="7" t="e">
        <f>Tabelle156[[#This Row],[Standardabweichung 3]]/Tabelle156[[#This Row],[Mean Visc. 3 '[mPas']3]]</f>
        <v>#VALUE!</v>
      </c>
      <c r="AG84" s="7" t="e">
        <f>1-Tabelle15638[[#This Row],[Mean Visc. 1 '[mPas']]]/#REF!</f>
        <v>#REF!</v>
      </c>
    </row>
    <row r="85" spans="1:33" s="7" customFormat="1" x14ac:dyDescent="0.3">
      <c r="A85">
        <v>84</v>
      </c>
      <c r="B85" s="4"/>
      <c r="C85" s="5"/>
      <c r="D85" s="7">
        <v>3</v>
      </c>
      <c r="E85" t="s">
        <v>174</v>
      </c>
      <c r="F85" t="s">
        <v>166</v>
      </c>
      <c r="G85" s="7" t="s">
        <v>188</v>
      </c>
      <c r="H85" s="11"/>
      <c r="I85" s="9"/>
      <c r="J85" s="7">
        <v>24</v>
      </c>
      <c r="K85" s="7">
        <v>28</v>
      </c>
      <c r="L85" s="7">
        <v>30.47</v>
      </c>
      <c r="M85" s="7">
        <v>381</v>
      </c>
      <c r="N85" s="7">
        <f>Tabelle15638[[#This Row],[Anzahl Frames]]/Tabelle15638[[#This Row],[Aufnahmezeit '[s']]]</f>
        <v>12.504102395799148</v>
      </c>
      <c r="O85" s="7">
        <f>1/Tabelle15638[[#This Row],[Mean fps ]]</f>
        <v>7.9973753280839888E-2</v>
      </c>
      <c r="P85" s="7">
        <v>40</v>
      </c>
      <c r="Q85" s="3"/>
      <c r="R85" s="11"/>
      <c r="S85" s="7">
        <v>0.89600000000000002</v>
      </c>
      <c r="T85" s="7">
        <v>0.751</v>
      </c>
      <c r="U85" s="7">
        <v>1.3640000000000001</v>
      </c>
      <c r="Z85" s="7" t="e" cm="1">
        <f t="array" ref="Z85">STABW</f>
        <v>#NAME?</v>
      </c>
      <c r="AC85" s="7" t="e">
        <f>Tabelle15638[[#This Row],[Standardabweichung 1]]/Tabelle15638[[#This Row],[Mean Visc. 1 '[mPas']]]</f>
        <v>#NAME?</v>
      </c>
      <c r="AD85" s="7" t="e">
        <f>Tabelle156[[#This Row],[Standardabweichung 2]]/Tabelle156[[#This Row],[Mean Visc. 2 '[mPas']2]]</f>
        <v>#VALUE!</v>
      </c>
      <c r="AE85" s="7" t="e">
        <f>Tabelle156[[#This Row],[Standardabweichung 3]]/Tabelle156[[#This Row],[Mean Visc. 3 '[mPas']3]]</f>
        <v>#VALUE!</v>
      </c>
      <c r="AG85" s="7" t="e">
        <f>1-Tabelle15638[[#This Row],[Mean Visc. 1 '[mPas']]]/#REF!</f>
        <v>#REF!</v>
      </c>
    </row>
    <row r="86" spans="1:33" s="17" customFormat="1" ht="15" thickBot="1" x14ac:dyDescent="0.35">
      <c r="A86">
        <v>85</v>
      </c>
      <c r="B86" s="15"/>
      <c r="C86" s="16"/>
      <c r="D86" s="7">
        <v>3</v>
      </c>
      <c r="E86" t="s">
        <v>174</v>
      </c>
      <c r="F86" t="s">
        <v>166</v>
      </c>
      <c r="G86" s="7" t="s">
        <v>188</v>
      </c>
      <c r="H86" s="21"/>
      <c r="I86" s="19"/>
      <c r="J86" s="17">
        <v>24</v>
      </c>
      <c r="K86" s="17">
        <v>28</v>
      </c>
      <c r="L86" s="17">
        <v>30.47</v>
      </c>
      <c r="M86" s="17">
        <v>381</v>
      </c>
      <c r="N86" s="17">
        <f>Tabelle15638[[#This Row],[Anzahl Frames]]/Tabelle15638[[#This Row],[Aufnahmezeit '[s']]]</f>
        <v>12.504102395799148</v>
      </c>
      <c r="O86" s="17">
        <f>1/Tabelle15638[[#This Row],[Mean fps ]]</f>
        <v>7.9973753280839888E-2</v>
      </c>
      <c r="P86" s="17">
        <v>40</v>
      </c>
      <c r="Q86" s="20"/>
      <c r="R86" s="21"/>
      <c r="S86" s="17">
        <v>0.86499999999999999</v>
      </c>
      <c r="T86" s="17">
        <v>0.77400000000000002</v>
      </c>
      <c r="U86" s="17">
        <v>1.33</v>
      </c>
      <c r="Z86" s="17" t="e" cm="1">
        <f t="array" ref="Z86">STABW</f>
        <v>#NAME?</v>
      </c>
      <c r="AC86" s="17" t="e">
        <f>Tabelle15638[[#This Row],[Standardabweichung 1]]/Tabelle15638[[#This Row],[Mean Visc. 1 '[mPas']]]</f>
        <v>#NAME?</v>
      </c>
      <c r="AD86" s="17" t="e">
        <f>Tabelle156[[#This Row],[Standardabweichung 2]]/Tabelle156[[#This Row],[Mean Visc. 2 '[mPas']2]]</f>
        <v>#VALUE!</v>
      </c>
      <c r="AE86" s="17" t="e">
        <f>Tabelle156[[#This Row],[Standardabweichung 3]]/Tabelle156[[#This Row],[Mean Visc. 3 '[mPas']3]]</f>
        <v>#VALUE!</v>
      </c>
      <c r="AG86" s="17" t="e">
        <f>1-Tabelle15638[[#This Row],[Mean Visc. 1 '[mPas']]]/#REF!</f>
        <v>#REF!</v>
      </c>
    </row>
    <row r="87" spans="1:33" s="7" customFormat="1" ht="15" thickTop="1" x14ac:dyDescent="0.3">
      <c r="A87">
        <v>86</v>
      </c>
      <c r="B87" s="4"/>
      <c r="C87" s="5"/>
      <c r="D87" s="7">
        <v>3</v>
      </c>
      <c r="E87" t="s">
        <v>174</v>
      </c>
      <c r="F87" t="s">
        <v>166</v>
      </c>
      <c r="G87" s="7" t="s">
        <v>188</v>
      </c>
      <c r="H87" s="11"/>
      <c r="I87" s="9"/>
      <c r="J87" s="7">
        <v>24.1</v>
      </c>
      <c r="K87" s="7">
        <v>27</v>
      </c>
      <c r="L87" s="7">
        <v>30.79</v>
      </c>
      <c r="M87" s="7">
        <v>385</v>
      </c>
      <c r="N87" s="7">
        <f>Tabelle15638[[#This Row],[Anzahl Frames]]/Tabelle15638[[#This Row],[Aufnahmezeit '[s']]]</f>
        <v>12.504059759662228</v>
      </c>
      <c r="O87" s="7">
        <f>1/Tabelle15638[[#This Row],[Mean fps ]]</f>
        <v>7.9974025974025975E-2</v>
      </c>
      <c r="P87" s="7">
        <v>40</v>
      </c>
      <c r="Q87" s="3"/>
      <c r="R87" s="11"/>
      <c r="S87" s="7">
        <v>0.90100000000000002</v>
      </c>
      <c r="T87" s="7">
        <v>0.73</v>
      </c>
      <c r="U87" s="7">
        <v>1.3420000000000001</v>
      </c>
      <c r="Z87" s="7" t="e" cm="1">
        <f t="array" ref="Z87">STABW</f>
        <v>#NAME?</v>
      </c>
      <c r="AC87" s="7" t="e">
        <f>Tabelle15638[[#This Row],[Standardabweichung 1]]/Tabelle15638[[#This Row],[Mean Visc. 1 '[mPas']]]</f>
        <v>#NAME?</v>
      </c>
      <c r="AD87" s="7" t="e">
        <f>Tabelle156[[#This Row],[Standardabweichung 2]]/Tabelle156[[#This Row],[Mean Visc. 2 '[mPas']2]]</f>
        <v>#VALUE!</v>
      </c>
      <c r="AE87" s="7" t="e">
        <f>Tabelle156[[#This Row],[Standardabweichung 3]]/Tabelle156[[#This Row],[Mean Visc. 3 '[mPas']3]]</f>
        <v>#VALUE!</v>
      </c>
      <c r="AG87" s="7" t="e">
        <f>1-Tabelle15638[[#This Row],[Mean Visc. 1 '[mPas']]]/#REF!</f>
        <v>#REF!</v>
      </c>
    </row>
    <row r="88" spans="1:33" s="7" customFormat="1" x14ac:dyDescent="0.3">
      <c r="A88">
        <v>87</v>
      </c>
      <c r="B88" s="4"/>
      <c r="C88" s="5"/>
      <c r="D88" s="7">
        <v>3</v>
      </c>
      <c r="E88" t="s">
        <v>174</v>
      </c>
      <c r="F88" t="s">
        <v>166</v>
      </c>
      <c r="G88" s="7" t="s">
        <v>188</v>
      </c>
      <c r="H88" s="11"/>
      <c r="I88" s="9"/>
      <c r="J88" s="7">
        <v>24.1</v>
      </c>
      <c r="K88" s="7">
        <v>27</v>
      </c>
      <c r="L88" s="7">
        <v>32.159999999999997</v>
      </c>
      <c r="M88" s="7">
        <v>402</v>
      </c>
      <c r="N88" s="7">
        <f>Tabelle15638[[#This Row],[Anzahl Frames]]/Tabelle15638[[#This Row],[Aufnahmezeit '[s']]]</f>
        <v>12.500000000000002</v>
      </c>
      <c r="O88" s="7">
        <f>1/Tabelle15638[[#This Row],[Mean fps ]]</f>
        <v>7.9999999999999988E-2</v>
      </c>
      <c r="P88" s="7">
        <v>40</v>
      </c>
      <c r="Q88" s="3"/>
      <c r="R88" s="11"/>
      <c r="S88" s="7">
        <v>0.86299999999999999</v>
      </c>
      <c r="T88" s="7">
        <v>0.72199999999999998</v>
      </c>
      <c r="U88" s="7">
        <v>1.349</v>
      </c>
      <c r="Z88" s="7" t="e" cm="1">
        <f t="array" ref="Z88">STABW</f>
        <v>#NAME?</v>
      </c>
      <c r="AC88" s="7" t="e">
        <f>Tabelle15638[[#This Row],[Standardabweichung 1]]/Tabelle15638[[#This Row],[Mean Visc. 1 '[mPas']]]</f>
        <v>#NAME?</v>
      </c>
      <c r="AD88" s="7" t="e">
        <f>Tabelle156[[#This Row],[Standardabweichung 2]]/Tabelle156[[#This Row],[Mean Visc. 2 '[mPas']2]]</f>
        <v>#VALUE!</v>
      </c>
      <c r="AE88" s="7" t="e">
        <f>Tabelle156[[#This Row],[Standardabweichung 3]]/Tabelle156[[#This Row],[Mean Visc. 3 '[mPas']3]]</f>
        <v>#VALUE!</v>
      </c>
      <c r="AG88" s="7" t="e">
        <f>1-Tabelle15638[[#This Row],[Mean Visc. 1 '[mPas']]]/#REF!</f>
        <v>#REF!</v>
      </c>
    </row>
    <row r="89" spans="1:33" s="7" customFormat="1" x14ac:dyDescent="0.3">
      <c r="A89">
        <v>88</v>
      </c>
      <c r="B89" s="4"/>
      <c r="C89" s="5"/>
      <c r="D89" s="7">
        <v>3</v>
      </c>
      <c r="E89" t="s">
        <v>174</v>
      </c>
      <c r="F89" t="s">
        <v>166</v>
      </c>
      <c r="G89" s="7" t="s">
        <v>188</v>
      </c>
      <c r="H89" s="11"/>
      <c r="I89" s="9"/>
      <c r="J89" s="7">
        <v>24.1</v>
      </c>
      <c r="K89" s="7">
        <v>27</v>
      </c>
      <c r="L89" s="7">
        <v>30.72</v>
      </c>
      <c r="M89" s="7">
        <v>384</v>
      </c>
      <c r="N89" s="7">
        <f>Tabelle15638[[#This Row],[Anzahl Frames]]/Tabelle15638[[#This Row],[Aufnahmezeit '[s']]]</f>
        <v>12.5</v>
      </c>
      <c r="O89" s="7">
        <f>1/Tabelle15638[[#This Row],[Mean fps ]]</f>
        <v>0.08</v>
      </c>
      <c r="P89" s="7">
        <v>40</v>
      </c>
      <c r="Q89" s="3"/>
      <c r="R89" s="11"/>
      <c r="S89" s="7">
        <v>0.86199999999999999</v>
      </c>
      <c r="T89" s="7">
        <v>0.69299999999999995</v>
      </c>
      <c r="U89" s="7">
        <v>1.327</v>
      </c>
      <c r="Z89" s="7" t="e" cm="1">
        <f t="array" ref="Z89">STABW</f>
        <v>#NAME?</v>
      </c>
      <c r="AC89" s="7" t="e">
        <f>Tabelle15638[[#This Row],[Standardabweichung 1]]/Tabelle15638[[#This Row],[Mean Visc. 1 '[mPas']]]</f>
        <v>#NAME?</v>
      </c>
      <c r="AD89" s="7" t="e">
        <f>Tabelle156[[#This Row],[Standardabweichung 2]]/Tabelle156[[#This Row],[Mean Visc. 2 '[mPas']2]]</f>
        <v>#VALUE!</v>
      </c>
      <c r="AE89" s="7" t="e">
        <f>Tabelle156[[#This Row],[Standardabweichung 3]]/Tabelle156[[#This Row],[Mean Visc. 3 '[mPas']3]]</f>
        <v>#VALUE!</v>
      </c>
      <c r="AG89" s="7" t="e">
        <f>1-Tabelle15638[[#This Row],[Mean Visc. 1 '[mPas']]]/#REF!</f>
        <v>#REF!</v>
      </c>
    </row>
    <row r="90" spans="1:33" s="7" customFormat="1" x14ac:dyDescent="0.3">
      <c r="A90">
        <v>89</v>
      </c>
      <c r="B90" s="4"/>
      <c r="C90" s="5"/>
      <c r="D90" s="7">
        <v>3</v>
      </c>
      <c r="E90" t="s">
        <v>174</v>
      </c>
      <c r="F90" t="s">
        <v>166</v>
      </c>
      <c r="G90" s="7" t="s">
        <v>188</v>
      </c>
      <c r="H90" s="11"/>
      <c r="I90" s="9"/>
      <c r="J90" s="7">
        <v>24.2</v>
      </c>
      <c r="K90" s="7">
        <v>27</v>
      </c>
      <c r="L90" s="7">
        <v>32.159999999999997</v>
      </c>
      <c r="M90" s="7">
        <v>402</v>
      </c>
      <c r="N90" s="7">
        <f>Tabelle15638[[#This Row],[Anzahl Frames]]/Tabelle15638[[#This Row],[Aufnahmezeit '[s']]]</f>
        <v>12.500000000000002</v>
      </c>
      <c r="O90" s="7">
        <f>1/Tabelle15638[[#This Row],[Mean fps ]]</f>
        <v>7.9999999999999988E-2</v>
      </c>
      <c r="P90" s="7">
        <v>40</v>
      </c>
      <c r="Q90" s="3"/>
      <c r="R90" s="11"/>
      <c r="S90" s="7">
        <v>0.872</v>
      </c>
      <c r="T90" s="7">
        <v>0.75900000000000001</v>
      </c>
      <c r="U90" s="7">
        <v>1.34</v>
      </c>
      <c r="Z90" s="7" t="e" cm="1">
        <f t="array" ref="Z90">STABW</f>
        <v>#NAME?</v>
      </c>
      <c r="AC90" s="7" t="e">
        <f>Tabelle15638[[#This Row],[Standardabweichung 1]]/Tabelle15638[[#This Row],[Mean Visc. 1 '[mPas']]]</f>
        <v>#NAME?</v>
      </c>
      <c r="AD90" s="7" t="e">
        <f>Tabelle156[[#This Row],[Standardabweichung 2]]/Tabelle156[[#This Row],[Mean Visc. 2 '[mPas']2]]</f>
        <v>#VALUE!</v>
      </c>
      <c r="AE90" s="7" t="e">
        <f>Tabelle156[[#This Row],[Standardabweichung 3]]/Tabelle156[[#This Row],[Mean Visc. 3 '[mPas']3]]</f>
        <v>#VALUE!</v>
      </c>
      <c r="AG90" s="7" t="e">
        <f>1-Tabelle15638[[#This Row],[Mean Visc. 1 '[mPas']]]/#REF!</f>
        <v>#REF!</v>
      </c>
    </row>
    <row r="91" spans="1:33" s="17" customFormat="1" ht="15" thickBot="1" x14ac:dyDescent="0.35">
      <c r="A91">
        <v>90</v>
      </c>
      <c r="B91" s="15"/>
      <c r="C91" s="16"/>
      <c r="D91" s="7">
        <v>3</v>
      </c>
      <c r="E91" t="s">
        <v>174</v>
      </c>
      <c r="F91" t="s">
        <v>166</v>
      </c>
      <c r="G91" s="7" t="s">
        <v>188</v>
      </c>
      <c r="H91" s="21"/>
      <c r="I91" s="19"/>
      <c r="J91" s="17">
        <v>24.2</v>
      </c>
      <c r="K91" s="17">
        <v>27</v>
      </c>
      <c r="L91" s="17">
        <v>30.88</v>
      </c>
      <c r="M91" s="17">
        <v>386</v>
      </c>
      <c r="N91" s="17">
        <f>Tabelle15638[[#This Row],[Anzahl Frames]]/Tabelle15638[[#This Row],[Aufnahmezeit '[s']]]</f>
        <v>12.5</v>
      </c>
      <c r="O91" s="17">
        <f>1/Tabelle15638[[#This Row],[Mean fps ]]</f>
        <v>0.08</v>
      </c>
      <c r="P91" s="17">
        <v>40</v>
      </c>
      <c r="Q91" s="20"/>
      <c r="R91" s="21"/>
      <c r="S91" s="17">
        <v>0.89300000000000002</v>
      </c>
      <c r="T91" s="17">
        <v>0.77</v>
      </c>
      <c r="U91" s="17">
        <v>1.3520000000000001</v>
      </c>
      <c r="W91" s="7">
        <f>SUM(S82:S91)/10</f>
        <v>0.88109999999999999</v>
      </c>
      <c r="X91" s="7">
        <f>SUM(T82:T91)/10</f>
        <v>0.74329999999999996</v>
      </c>
      <c r="Y91" s="7">
        <f t="shared" ref="Y91" si="17">SUM(U82:U91)/10</f>
        <v>1.3556000000000001</v>
      </c>
      <c r="Z91" s="17">
        <f>_xlfn.STDEV.S(S82:S91)</f>
        <v>2.0223473709748523E-2</v>
      </c>
      <c r="AA91" s="17">
        <f t="shared" ref="AA91" si="18">_xlfn.STDEV.S(T82:T91)</f>
        <v>2.5586671877713577E-2</v>
      </c>
      <c r="AB91" s="17">
        <f>_xlfn.STDEV.S(U82:U91)</f>
        <v>2.3214937719781458E-2</v>
      </c>
      <c r="AC91" s="17">
        <f>Tabelle15638[[#This Row],[Standardabweichung 1]]/Tabelle15638[[#This Row],[Mean Visc. 1 '[mPas']]]</f>
        <v>2.2952529462885625E-2</v>
      </c>
      <c r="AD91" s="17">
        <f>Tabelle15638[[#This Row],[Standardabweichung 2]]/Tabelle15638[[#This Row],[Mean Visc. 2 '[mPas']2]]</f>
        <v>3.4423075309718255E-2</v>
      </c>
      <c r="AE91" s="17">
        <f>Tabelle15638[[#This Row],[Standardabweichung 3]]/Tabelle15638[[#This Row],[Mean Visc. 3 '[mPas']3]]</f>
        <v>1.712521224533893E-2</v>
      </c>
      <c r="AG91" s="17" t="e">
        <f>1-Tabelle15638[[#This Row],[Mean Visc. 1 '[mPas']]]/#REF!</f>
        <v>#REF!</v>
      </c>
    </row>
    <row r="92" spans="1:33" s="7" customFormat="1" ht="15" thickTop="1" x14ac:dyDescent="0.3">
      <c r="A92">
        <v>91</v>
      </c>
      <c r="B92" s="4"/>
      <c r="C92" s="5"/>
      <c r="D92" s="7">
        <v>4</v>
      </c>
      <c r="E92" t="s">
        <v>167</v>
      </c>
      <c r="F92" t="s">
        <v>166</v>
      </c>
      <c r="G92" s="7" t="s">
        <v>186</v>
      </c>
      <c r="H92" s="11"/>
      <c r="I92" s="9"/>
      <c r="J92" s="7">
        <v>24.5</v>
      </c>
      <c r="K92" s="7">
        <v>27</v>
      </c>
      <c r="L92" s="7">
        <v>30.09</v>
      </c>
      <c r="M92" s="7">
        <v>378</v>
      </c>
      <c r="N92" s="7">
        <f>Tabelle15638[[#This Row],[Anzahl Frames]]/Tabelle15638[[#This Row],[Aufnahmezeit '[s']]]</f>
        <v>12.562313060817548</v>
      </c>
      <c r="O92" s="7">
        <f>1/Tabelle15638[[#This Row],[Mean fps ]]</f>
        <v>7.9603174603174606E-2</v>
      </c>
      <c r="P92" s="7">
        <v>40</v>
      </c>
      <c r="Q92" s="3"/>
      <c r="R92" s="11"/>
      <c r="S92" s="7">
        <v>1.296</v>
      </c>
      <c r="T92" s="7">
        <v>1.232</v>
      </c>
      <c r="U92" s="7">
        <v>1.7</v>
      </c>
      <c r="Z92" s="7" t="e" cm="1">
        <f t="array" ref="Z92">STABW</f>
        <v>#NAME?</v>
      </c>
      <c r="AC92" s="7" t="e">
        <f>Tabelle15638[[#This Row],[Standardabweichung 1]]/Tabelle15638[[#This Row],[Mean Visc. 1 '[mPas']]]</f>
        <v>#NAME?</v>
      </c>
      <c r="AD92" s="7" t="e">
        <f>Tabelle156[[#This Row],[Standardabweichung 2]]/Tabelle156[[#This Row],[Mean Visc. 2 '[mPas']2]]</f>
        <v>#VALUE!</v>
      </c>
      <c r="AE92" s="7" t="e">
        <f>Tabelle156[[#This Row],[Standardabweichung 3]]/Tabelle156[[#This Row],[Mean Visc. 3 '[mPas']3]]</f>
        <v>#VALUE!</v>
      </c>
      <c r="AG92" s="7" t="e">
        <f>1-Tabelle15638[[#This Row],[Mean Visc. 1 '[mPas']]]/#REF!</f>
        <v>#REF!</v>
      </c>
    </row>
    <row r="93" spans="1:33" s="7" customFormat="1" x14ac:dyDescent="0.3">
      <c r="A93">
        <v>92</v>
      </c>
      <c r="B93" s="4"/>
      <c r="C93" s="5"/>
      <c r="D93" s="7">
        <v>4</v>
      </c>
      <c r="E93" t="s">
        <v>167</v>
      </c>
      <c r="F93" t="s">
        <v>166</v>
      </c>
      <c r="G93" s="7" t="s">
        <v>186</v>
      </c>
      <c r="H93" s="11"/>
      <c r="I93" s="9"/>
      <c r="J93" s="7">
        <v>25</v>
      </c>
      <c r="K93" s="7">
        <v>27</v>
      </c>
      <c r="L93" s="7">
        <v>31.52</v>
      </c>
      <c r="M93" s="7">
        <v>394</v>
      </c>
      <c r="N93" s="7">
        <f>Tabelle15638[[#This Row],[Anzahl Frames]]/Tabelle15638[[#This Row],[Aufnahmezeit '[s']]]</f>
        <v>12.5</v>
      </c>
      <c r="O93" s="7">
        <f>1/Tabelle15638[[#This Row],[Mean fps ]]</f>
        <v>0.08</v>
      </c>
      <c r="P93" s="7">
        <v>40</v>
      </c>
      <c r="Q93" s="3"/>
      <c r="R93" s="11"/>
      <c r="S93" s="7">
        <v>1.4079999999999999</v>
      </c>
      <c r="T93" s="7">
        <v>1.1319999999999999</v>
      </c>
      <c r="U93" s="7">
        <v>1.857</v>
      </c>
      <c r="Z93" s="7" t="e" cm="1">
        <f t="array" ref="Z93">STABW</f>
        <v>#NAME?</v>
      </c>
      <c r="AC93" s="7" t="e">
        <f>Tabelle15638[[#This Row],[Standardabweichung 1]]/Tabelle15638[[#This Row],[Mean Visc. 1 '[mPas']]]</f>
        <v>#NAME?</v>
      </c>
      <c r="AD93" s="7" t="e">
        <f>Tabelle156[[#This Row],[Standardabweichung 2]]/Tabelle156[[#This Row],[Mean Visc. 2 '[mPas']2]]</f>
        <v>#VALUE!</v>
      </c>
      <c r="AE93" s="7" t="e">
        <f>Tabelle156[[#This Row],[Standardabweichung 3]]/Tabelle156[[#This Row],[Mean Visc. 3 '[mPas']3]]</f>
        <v>#VALUE!</v>
      </c>
      <c r="AG93" s="7" t="e">
        <f>1-Tabelle15638[[#This Row],[Mean Visc. 1 '[mPas']]]/#REF!</f>
        <v>#REF!</v>
      </c>
    </row>
    <row r="94" spans="1:33" s="7" customFormat="1" x14ac:dyDescent="0.3">
      <c r="A94">
        <v>93</v>
      </c>
      <c r="B94" s="4"/>
      <c r="C94" s="5"/>
      <c r="D94" s="7">
        <v>4</v>
      </c>
      <c r="E94" t="s">
        <v>167</v>
      </c>
      <c r="F94" t="s">
        <v>166</v>
      </c>
      <c r="G94" s="7" t="s">
        <v>186</v>
      </c>
      <c r="H94" s="11"/>
      <c r="I94" s="9"/>
      <c r="J94" s="7">
        <v>25.3</v>
      </c>
      <c r="K94" s="7">
        <v>27</v>
      </c>
      <c r="L94" s="7">
        <v>30.32</v>
      </c>
      <c r="M94" s="7">
        <v>380</v>
      </c>
      <c r="N94" s="7">
        <f>Tabelle15638[[#This Row],[Anzahl Frames]]/Tabelle15638[[#This Row],[Aufnahmezeit '[s']]]</f>
        <v>12.532981530343008</v>
      </c>
      <c r="O94" s="7">
        <f>1/Tabelle15638[[#This Row],[Mean fps ]]</f>
        <v>7.9789473684210521E-2</v>
      </c>
      <c r="P94" s="7">
        <v>40</v>
      </c>
      <c r="Q94" s="3"/>
      <c r="R94" s="11"/>
      <c r="S94" s="7">
        <v>1.675</v>
      </c>
      <c r="T94" s="7">
        <v>1.48</v>
      </c>
      <c r="U94" s="7">
        <v>1.9370000000000001</v>
      </c>
      <c r="Z94" s="7" t="e" cm="1">
        <f t="array" ref="Z94">STABW</f>
        <v>#NAME?</v>
      </c>
      <c r="AC94" s="7" t="e">
        <f>Tabelle15638[[#This Row],[Standardabweichung 1]]/Tabelle15638[[#This Row],[Mean Visc. 1 '[mPas']]]</f>
        <v>#NAME?</v>
      </c>
      <c r="AD94" s="7" t="e">
        <f>Tabelle156[[#This Row],[Standardabweichung 2]]/Tabelle156[[#This Row],[Mean Visc. 2 '[mPas']2]]</f>
        <v>#VALUE!</v>
      </c>
      <c r="AE94" s="7" t="e">
        <f>Tabelle156[[#This Row],[Standardabweichung 3]]/Tabelle156[[#This Row],[Mean Visc. 3 '[mPas']3]]</f>
        <v>#VALUE!</v>
      </c>
      <c r="AG94" s="7" t="e">
        <f>1-Tabelle15638[[#This Row],[Mean Visc. 1 '[mPas']]]/#REF!</f>
        <v>#REF!</v>
      </c>
    </row>
    <row r="95" spans="1:33" s="7" customFormat="1" x14ac:dyDescent="0.3">
      <c r="A95">
        <v>94</v>
      </c>
      <c r="B95" s="4"/>
      <c r="C95" s="5"/>
      <c r="D95" s="7">
        <v>4</v>
      </c>
      <c r="E95" t="s">
        <v>167</v>
      </c>
      <c r="F95" t="s">
        <v>166</v>
      </c>
      <c r="G95" s="7" t="s">
        <v>186</v>
      </c>
      <c r="H95" s="11"/>
      <c r="I95" s="9"/>
      <c r="J95" s="7">
        <v>25.4</v>
      </c>
      <c r="K95" s="7">
        <v>23</v>
      </c>
      <c r="L95" s="7">
        <v>32.9</v>
      </c>
      <c r="M95" s="7">
        <v>411</v>
      </c>
      <c r="N95" s="7">
        <f>Tabelle15638[[#This Row],[Anzahl Frames]]/Tabelle15638[[#This Row],[Aufnahmezeit '[s']]]</f>
        <v>12.492401215805472</v>
      </c>
      <c r="O95" s="7">
        <f>1/Tabelle15638[[#This Row],[Mean fps ]]</f>
        <v>8.0048661800486615E-2</v>
      </c>
      <c r="P95" s="7">
        <v>40</v>
      </c>
      <c r="Q95" s="3"/>
      <c r="R95" s="11"/>
      <c r="S95" s="7">
        <v>1.5369999999999999</v>
      </c>
      <c r="T95" s="7">
        <v>1.165</v>
      </c>
      <c r="U95" s="7">
        <v>1.9059999999999999</v>
      </c>
      <c r="Z95" s="7" t="e" cm="1">
        <f t="array" ref="Z95">STABW</f>
        <v>#NAME?</v>
      </c>
      <c r="AC95" s="7" t="e">
        <f>Tabelle15638[[#This Row],[Standardabweichung 1]]/Tabelle15638[[#This Row],[Mean Visc. 1 '[mPas']]]</f>
        <v>#NAME?</v>
      </c>
      <c r="AD95" s="7" t="e">
        <f>Tabelle156[[#This Row],[Standardabweichung 2]]/Tabelle156[[#This Row],[Mean Visc. 2 '[mPas']2]]</f>
        <v>#VALUE!</v>
      </c>
      <c r="AE95" s="7" t="e">
        <f>Tabelle156[[#This Row],[Standardabweichung 3]]/Tabelle156[[#This Row],[Mean Visc. 3 '[mPas']3]]</f>
        <v>#VALUE!</v>
      </c>
      <c r="AG95" s="7" t="e">
        <f>1-Tabelle15638[[#This Row],[Mean Visc. 1 '[mPas']]]/#REF!</f>
        <v>#REF!</v>
      </c>
    </row>
    <row r="96" spans="1:33" s="17" customFormat="1" ht="15" thickBot="1" x14ac:dyDescent="0.35">
      <c r="A96">
        <v>95</v>
      </c>
      <c r="B96" s="15"/>
      <c r="C96" s="16"/>
      <c r="D96" s="7">
        <v>4</v>
      </c>
      <c r="E96" t="s">
        <v>167</v>
      </c>
      <c r="F96" t="s">
        <v>166</v>
      </c>
      <c r="G96" s="7" t="s">
        <v>186</v>
      </c>
      <c r="H96" s="11"/>
      <c r="I96" s="9"/>
      <c r="J96" s="17">
        <v>25.6</v>
      </c>
      <c r="K96" s="17">
        <v>23</v>
      </c>
      <c r="L96" s="17">
        <v>30.72</v>
      </c>
      <c r="M96" s="17">
        <v>385</v>
      </c>
      <c r="N96" s="17">
        <f>Tabelle15638[[#This Row],[Anzahl Frames]]/Tabelle15638[[#This Row],[Aufnahmezeit '[s']]]</f>
        <v>12.532552083333334</v>
      </c>
      <c r="O96" s="17">
        <f>1/Tabelle15638[[#This Row],[Mean fps ]]</f>
        <v>7.9792207792207789E-2</v>
      </c>
      <c r="P96" s="17">
        <v>40</v>
      </c>
      <c r="Q96" s="20"/>
      <c r="R96" s="21"/>
      <c r="S96" s="17">
        <v>1.6639999999999999</v>
      </c>
      <c r="T96" s="17">
        <v>1.37</v>
      </c>
      <c r="U96" s="17">
        <v>2.0179999999999998</v>
      </c>
      <c r="Z96" s="17" t="e" cm="1">
        <f t="array" ref="Z96">STABW</f>
        <v>#NAME?</v>
      </c>
      <c r="AC96" s="17" t="e">
        <f>Tabelle15638[[#This Row],[Standardabweichung 1]]/Tabelle15638[[#This Row],[Mean Visc. 1 '[mPas']]]</f>
        <v>#NAME?</v>
      </c>
      <c r="AD96" s="17" t="e">
        <f>Tabelle156[[#This Row],[Standardabweichung 2]]/Tabelle156[[#This Row],[Mean Visc. 2 '[mPas']2]]</f>
        <v>#VALUE!</v>
      </c>
      <c r="AE96" s="17" t="e">
        <f>Tabelle156[[#This Row],[Standardabweichung 3]]/Tabelle156[[#This Row],[Mean Visc. 3 '[mPas']3]]</f>
        <v>#VALUE!</v>
      </c>
      <c r="AG96" s="17" t="e">
        <f>1-Tabelle15638[[#This Row],[Mean Visc. 1 '[mPas']]]/#REF!</f>
        <v>#REF!</v>
      </c>
    </row>
    <row r="97" spans="1:35" s="7" customFormat="1" ht="15" thickTop="1" x14ac:dyDescent="0.3">
      <c r="A97">
        <v>96</v>
      </c>
      <c r="B97" s="4"/>
      <c r="C97" s="5"/>
      <c r="D97" s="7">
        <v>4</v>
      </c>
      <c r="E97" t="s">
        <v>167</v>
      </c>
      <c r="F97" t="s">
        <v>166</v>
      </c>
      <c r="G97" s="7" t="s">
        <v>186</v>
      </c>
      <c r="H97" s="11"/>
      <c r="I97" s="9"/>
      <c r="J97" s="7">
        <v>25.8</v>
      </c>
      <c r="K97" s="7">
        <v>23</v>
      </c>
      <c r="L97" s="7">
        <v>29.52</v>
      </c>
      <c r="M97" s="7">
        <v>369</v>
      </c>
      <c r="N97" s="7">
        <f>Tabelle15638[[#This Row],[Anzahl Frames]]/Tabelle15638[[#This Row],[Aufnahmezeit '[s']]]</f>
        <v>12.5</v>
      </c>
      <c r="O97" s="7">
        <f>1/Tabelle15638[[#This Row],[Mean fps ]]</f>
        <v>0.08</v>
      </c>
      <c r="P97" s="7">
        <v>40</v>
      </c>
      <c r="Q97" s="3"/>
      <c r="R97" s="11"/>
      <c r="S97" s="7">
        <v>1.5029999999999999</v>
      </c>
      <c r="T97" s="7">
        <v>1.1220000000000001</v>
      </c>
      <c r="U97" s="7">
        <v>1.5389999999999999</v>
      </c>
      <c r="Z97" s="7" t="e" cm="1">
        <f t="array" ref="Z97">STABW</f>
        <v>#NAME?</v>
      </c>
      <c r="AC97" s="7" t="e">
        <f>Tabelle15638[[#This Row],[Standardabweichung 1]]/Tabelle15638[[#This Row],[Mean Visc. 1 '[mPas']]]</f>
        <v>#NAME?</v>
      </c>
      <c r="AD97" s="7" t="e">
        <f>Tabelle156[[#This Row],[Standardabweichung 2]]/Tabelle156[[#This Row],[Mean Visc. 2 '[mPas']2]]</f>
        <v>#VALUE!</v>
      </c>
      <c r="AE97" s="7" t="e">
        <f>Tabelle156[[#This Row],[Standardabweichung 3]]/Tabelle156[[#This Row],[Mean Visc. 3 '[mPas']3]]</f>
        <v>#VALUE!</v>
      </c>
      <c r="AG97" s="7" t="e">
        <f>1-Tabelle15638[[#This Row],[Mean Visc. 1 '[mPas']]]/#REF!</f>
        <v>#REF!</v>
      </c>
    </row>
    <row r="98" spans="1:35" s="7" customFormat="1" x14ac:dyDescent="0.3">
      <c r="A98">
        <v>97</v>
      </c>
      <c r="B98" s="4"/>
      <c r="C98" s="5"/>
      <c r="D98" s="7">
        <v>4</v>
      </c>
      <c r="E98" t="s">
        <v>167</v>
      </c>
      <c r="F98" t="s">
        <v>166</v>
      </c>
      <c r="G98" s="7" t="s">
        <v>186</v>
      </c>
      <c r="H98" s="11"/>
      <c r="I98" s="9"/>
      <c r="J98" s="7">
        <v>25.9</v>
      </c>
      <c r="K98" s="7">
        <v>23</v>
      </c>
      <c r="L98" s="7">
        <v>32.799999999999997</v>
      </c>
      <c r="M98" s="7">
        <v>411</v>
      </c>
      <c r="N98" s="7">
        <f>Tabelle15638[[#This Row],[Anzahl Frames]]/Tabelle15638[[#This Row],[Aufnahmezeit '[s']]]</f>
        <v>12.530487804878049</v>
      </c>
      <c r="O98" s="7">
        <f>1/Tabelle15638[[#This Row],[Mean fps ]]</f>
        <v>7.9805352798053522E-2</v>
      </c>
      <c r="P98" s="7">
        <v>40</v>
      </c>
      <c r="Q98" s="3"/>
      <c r="R98" s="11"/>
      <c r="S98" s="7">
        <v>1.5429999999999999</v>
      </c>
      <c r="T98" s="7">
        <v>1.2909999999999999</v>
      </c>
      <c r="U98" s="7">
        <v>1.9490000000000001</v>
      </c>
      <c r="Z98" s="7" t="e" cm="1">
        <f t="array" ref="Z98">STABW</f>
        <v>#NAME?</v>
      </c>
      <c r="AC98" s="7" t="e">
        <f>Tabelle15638[[#This Row],[Standardabweichung 1]]/Tabelle15638[[#This Row],[Mean Visc. 1 '[mPas']]]</f>
        <v>#NAME?</v>
      </c>
      <c r="AD98" s="7" t="e">
        <f>Tabelle156[[#This Row],[Standardabweichung 2]]/Tabelle156[[#This Row],[Mean Visc. 2 '[mPas']2]]</f>
        <v>#VALUE!</v>
      </c>
      <c r="AE98" s="7" t="e">
        <f>Tabelle156[[#This Row],[Standardabweichung 3]]/Tabelle156[[#This Row],[Mean Visc. 3 '[mPas']3]]</f>
        <v>#VALUE!</v>
      </c>
      <c r="AG98" s="7" t="e">
        <f>1-Tabelle15638[[#This Row],[Mean Visc. 1 '[mPas']]]/#REF!</f>
        <v>#REF!</v>
      </c>
    </row>
    <row r="99" spans="1:35" s="7" customFormat="1" x14ac:dyDescent="0.3">
      <c r="A99">
        <v>98</v>
      </c>
      <c r="B99" s="4"/>
      <c r="C99" s="5"/>
      <c r="D99" s="7">
        <v>4</v>
      </c>
      <c r="E99" t="s">
        <v>167</v>
      </c>
      <c r="F99" t="s">
        <v>166</v>
      </c>
      <c r="G99" s="7" t="s">
        <v>186</v>
      </c>
      <c r="H99" s="11"/>
      <c r="I99" s="9"/>
      <c r="J99" s="7">
        <v>25.9</v>
      </c>
      <c r="K99" s="7">
        <v>23</v>
      </c>
      <c r="L99" s="7">
        <v>33.58</v>
      </c>
      <c r="M99" s="7">
        <v>419</v>
      </c>
      <c r="N99" s="7">
        <f>Tabelle15638[[#This Row],[Anzahl Frames]]/Tabelle15638[[#This Row],[Aufnahmezeit '[s']]]</f>
        <v>12.477665276950566</v>
      </c>
      <c r="O99" s="7">
        <f>1/Tabelle15638[[#This Row],[Mean fps ]]</f>
        <v>8.0143198090692119E-2</v>
      </c>
      <c r="P99" s="7">
        <v>40</v>
      </c>
      <c r="Q99" s="3"/>
      <c r="R99" s="11"/>
      <c r="S99" s="7">
        <v>1.7050000000000001</v>
      </c>
      <c r="T99" s="7">
        <v>1.2809999999999999</v>
      </c>
      <c r="U99" s="7">
        <v>2.11</v>
      </c>
      <c r="Z99" s="7" t="e" cm="1">
        <f t="array" ref="Z99">STABW</f>
        <v>#NAME?</v>
      </c>
      <c r="AC99" s="7" t="e">
        <f>Tabelle15638[[#This Row],[Standardabweichung 1]]/Tabelle15638[[#This Row],[Mean Visc. 1 '[mPas']]]</f>
        <v>#NAME?</v>
      </c>
      <c r="AD99" s="7" t="e">
        <f>Tabelle156[[#This Row],[Standardabweichung 2]]/Tabelle156[[#This Row],[Mean Visc. 2 '[mPas']2]]</f>
        <v>#VALUE!</v>
      </c>
      <c r="AE99" s="7" t="e">
        <f>Tabelle156[[#This Row],[Standardabweichung 3]]/Tabelle156[[#This Row],[Mean Visc. 3 '[mPas']3]]</f>
        <v>#VALUE!</v>
      </c>
      <c r="AG99" s="7" t="e">
        <f>1-Tabelle15638[[#This Row],[Mean Visc. 1 '[mPas']]]/#REF!</f>
        <v>#REF!</v>
      </c>
    </row>
    <row r="100" spans="1:35" s="7" customFormat="1" x14ac:dyDescent="0.3">
      <c r="A100">
        <v>99</v>
      </c>
      <c r="B100" s="4"/>
      <c r="C100" s="5"/>
      <c r="D100" s="7">
        <v>4</v>
      </c>
      <c r="E100" t="s">
        <v>167</v>
      </c>
      <c r="F100" t="s">
        <v>166</v>
      </c>
      <c r="G100" s="7" t="s">
        <v>186</v>
      </c>
      <c r="H100" s="11"/>
      <c r="I100" s="9"/>
      <c r="J100" s="7">
        <v>25.9</v>
      </c>
      <c r="K100" s="7">
        <v>23</v>
      </c>
      <c r="L100" s="7">
        <v>34.799999999999997</v>
      </c>
      <c r="M100" s="7">
        <v>436</v>
      </c>
      <c r="N100" s="7">
        <f>Tabelle15638[[#This Row],[Anzahl Frames]]/Tabelle15638[[#This Row],[Aufnahmezeit '[s']]]</f>
        <v>12.52873563218391</v>
      </c>
      <c r="O100" s="7">
        <f>1/Tabelle15638[[#This Row],[Mean fps ]]</f>
        <v>7.981651376146788E-2</v>
      </c>
      <c r="P100" s="7">
        <v>40</v>
      </c>
      <c r="Q100" s="3"/>
      <c r="R100" s="11"/>
      <c r="S100" s="7">
        <v>2.0870000000000002</v>
      </c>
      <c r="T100" s="7">
        <v>1.6870000000000001</v>
      </c>
      <c r="U100" s="7">
        <v>2.0630000000000002</v>
      </c>
      <c r="Z100" s="7" t="e" cm="1">
        <f t="array" ref="Z100">STABW</f>
        <v>#NAME?</v>
      </c>
      <c r="AC100" s="7" t="e">
        <f>Tabelle15638[[#This Row],[Standardabweichung 1]]/Tabelle15638[[#This Row],[Mean Visc. 1 '[mPas']]]</f>
        <v>#NAME?</v>
      </c>
      <c r="AD100" s="7" t="e">
        <f>Tabelle156[[#This Row],[Standardabweichung 2]]/Tabelle156[[#This Row],[Mean Visc. 2 '[mPas']2]]</f>
        <v>#VALUE!</v>
      </c>
      <c r="AE100" s="7" t="e">
        <f>Tabelle156[[#This Row],[Standardabweichung 3]]/Tabelle156[[#This Row],[Mean Visc. 3 '[mPas']3]]</f>
        <v>#VALUE!</v>
      </c>
      <c r="AG100" s="7" t="e">
        <f>1-Tabelle15638[[#This Row],[Mean Visc. 1 '[mPas']]]/#REF!</f>
        <v>#REF!</v>
      </c>
    </row>
    <row r="101" spans="1:35" s="17" customFormat="1" ht="15" thickBot="1" x14ac:dyDescent="0.35">
      <c r="A101">
        <v>100</v>
      </c>
      <c r="B101" s="15"/>
      <c r="C101" s="16"/>
      <c r="D101" s="7">
        <v>4</v>
      </c>
      <c r="E101" t="s">
        <v>167</v>
      </c>
      <c r="F101" t="s">
        <v>166</v>
      </c>
      <c r="G101" s="7" t="s">
        <v>186</v>
      </c>
      <c r="H101" s="11"/>
      <c r="I101" s="9"/>
      <c r="J101" s="17">
        <v>25.9</v>
      </c>
      <c r="K101" s="17">
        <v>23</v>
      </c>
      <c r="L101" s="17">
        <v>32.47</v>
      </c>
      <c r="M101" s="17">
        <v>406</v>
      </c>
      <c r="N101" s="17">
        <f>Tabelle15638[[#This Row],[Anzahl Frames]]/Tabelle15638[[#This Row],[Aufnahmezeit '[s']]]</f>
        <v>12.503849707422237</v>
      </c>
      <c r="O101" s="17">
        <f>1/Tabelle15638[[#This Row],[Mean fps ]]</f>
        <v>7.9975369458128068E-2</v>
      </c>
      <c r="P101" s="17">
        <v>40</v>
      </c>
      <c r="Q101" s="20"/>
      <c r="R101" s="21"/>
      <c r="S101" s="17">
        <v>1.5209999999999999</v>
      </c>
      <c r="T101" s="17">
        <v>1.282</v>
      </c>
      <c r="U101" s="17">
        <v>1.9019999999999999</v>
      </c>
      <c r="W101" s="7">
        <f>SUM(S92:S101)/10</f>
        <v>1.5938999999999997</v>
      </c>
      <c r="X101" s="7">
        <f>SUM(T92:T101)/10</f>
        <v>1.3042</v>
      </c>
      <c r="Y101" s="7">
        <f t="shared" ref="Y101" si="19">SUM(U92:U101)/10</f>
        <v>1.8980999999999999</v>
      </c>
      <c r="Z101" s="17">
        <f>_xlfn.STDEV.S(S92:S101)</f>
        <v>0.21335700389514475</v>
      </c>
      <c r="AA101" s="17">
        <f t="shared" ref="AA101" si="20">_xlfn.STDEV.S(T92:T101)</f>
        <v>0.17333833326121995</v>
      </c>
      <c r="AB101" s="17">
        <f>_xlfn.STDEV.S(U92:U101)</f>
        <v>0.17014271787074653</v>
      </c>
      <c r="AC101" s="17">
        <f>Tabelle15638[[#This Row],[Standardabweichung 1]]/Tabelle15638[[#This Row],[Mean Visc. 1 '[mPas']]]</f>
        <v>0.13385846282398192</v>
      </c>
      <c r="AD101" s="17">
        <f>Tabelle15638[[#This Row],[Standardabweichung 2]]/Tabelle15638[[#This Row],[Mean Visc. 2 '[mPas']2]]</f>
        <v>0.13290778504924086</v>
      </c>
      <c r="AE101" s="17">
        <f>Tabelle15638[[#This Row],[Standardabweichung 3]]/Tabelle15638[[#This Row],[Mean Visc. 3 '[mPas']3]]</f>
        <v>8.9638437316656938E-2</v>
      </c>
      <c r="AG101" s="17" t="e">
        <f>1-Tabelle15638[[#This Row],[Mean Visc. 1 '[mPas']]]/#REF!</f>
        <v>#REF!</v>
      </c>
    </row>
    <row r="102" spans="1:35" s="7" customFormat="1" ht="15" thickTop="1" x14ac:dyDescent="0.3">
      <c r="A102">
        <v>101</v>
      </c>
      <c r="B102" s="4"/>
      <c r="C102" s="5"/>
      <c r="D102" s="7">
        <v>4</v>
      </c>
      <c r="E102" t="s">
        <v>167</v>
      </c>
      <c r="F102" t="s">
        <v>166</v>
      </c>
      <c r="G102" t="s">
        <v>187</v>
      </c>
      <c r="H102" s="11"/>
      <c r="I102" s="9"/>
      <c r="J102" s="7">
        <v>26</v>
      </c>
      <c r="K102" s="7">
        <v>23</v>
      </c>
      <c r="L102" s="7">
        <v>34.479999999999997</v>
      </c>
      <c r="M102" s="7">
        <v>432</v>
      </c>
      <c r="N102" s="7">
        <f>Tabelle15638[[#This Row],[Anzahl Frames]]/Tabelle15638[[#This Row],[Aufnahmezeit '[s']]]</f>
        <v>12.529002320185615</v>
      </c>
      <c r="O102" s="7">
        <f>1/Tabelle15638[[#This Row],[Mean fps ]]</f>
        <v>7.9814814814814811E-2</v>
      </c>
      <c r="P102" s="7">
        <v>40</v>
      </c>
      <c r="Q102" s="3"/>
      <c r="R102" s="11"/>
      <c r="S102" s="7">
        <v>2.0350000000000001</v>
      </c>
      <c r="T102" s="7">
        <v>1.7010000000000001</v>
      </c>
      <c r="U102" s="7">
        <v>2.3410000000000002</v>
      </c>
      <c r="Z102" s="7" t="e" cm="1">
        <f t="array" ref="Z102">STABW</f>
        <v>#NAME?</v>
      </c>
      <c r="AC102" s="7" t="e">
        <f>Tabelle15638[[#This Row],[Standardabweichung 1]]/Tabelle15638[[#This Row],[Mean Visc. 1 '[mPas']]]</f>
        <v>#NAME?</v>
      </c>
      <c r="AD102" s="7" t="e">
        <f>Tabelle156[[#This Row],[Standardabweichung 2]]/Tabelle156[[#This Row],[Mean Visc. 2 '[mPas']2]]</f>
        <v>#VALUE!</v>
      </c>
      <c r="AE102" s="7" t="e">
        <f>Tabelle156[[#This Row],[Standardabweichung 3]]/Tabelle156[[#This Row],[Mean Visc. 3 '[mPas']3]]</f>
        <v>#VALUE!</v>
      </c>
      <c r="AG102" s="7" t="e">
        <f>1-Tabelle15638[[#This Row],[Mean Visc. 1 '[mPas']]]/#REF!</f>
        <v>#REF!</v>
      </c>
    </row>
    <row r="103" spans="1:35" s="7" customFormat="1" x14ac:dyDescent="0.3">
      <c r="A103">
        <v>102</v>
      </c>
      <c r="B103" s="4"/>
      <c r="C103" s="5"/>
      <c r="D103" s="7">
        <v>4</v>
      </c>
      <c r="E103" t="s">
        <v>167</v>
      </c>
      <c r="F103" t="s">
        <v>166</v>
      </c>
      <c r="G103" t="s">
        <v>187</v>
      </c>
      <c r="H103" s="11"/>
      <c r="I103" s="9"/>
      <c r="J103" s="7">
        <v>26</v>
      </c>
      <c r="K103" s="7">
        <v>23</v>
      </c>
      <c r="L103" s="7">
        <v>31.44</v>
      </c>
      <c r="M103" s="7">
        <v>394</v>
      </c>
      <c r="N103" s="7">
        <f>Tabelle15638[[#This Row],[Anzahl Frames]]/Tabelle15638[[#This Row],[Aufnahmezeit '[s']]]</f>
        <v>12.53180661577608</v>
      </c>
      <c r="O103" s="7">
        <f>1/Tabelle15638[[#This Row],[Mean fps ]]</f>
        <v>7.9796954314720822E-2</v>
      </c>
      <c r="P103" s="7">
        <v>40</v>
      </c>
      <c r="Q103" s="3"/>
      <c r="R103" s="11"/>
      <c r="S103" s="7">
        <v>1.907</v>
      </c>
      <c r="T103" s="7">
        <v>1.3620000000000001</v>
      </c>
      <c r="U103" s="7">
        <v>2.4430000000000001</v>
      </c>
      <c r="Z103" s="7" t="e" cm="1">
        <f t="array" ref="Z103">STABW</f>
        <v>#NAME?</v>
      </c>
      <c r="AC103" s="7" t="e">
        <f>Tabelle15638[[#This Row],[Standardabweichung 1]]/Tabelle15638[[#This Row],[Mean Visc. 1 '[mPas']]]</f>
        <v>#NAME?</v>
      </c>
      <c r="AD103" s="7" t="e">
        <f>Tabelle156[[#This Row],[Standardabweichung 2]]/Tabelle156[[#This Row],[Mean Visc. 2 '[mPas']2]]</f>
        <v>#VALUE!</v>
      </c>
      <c r="AE103" s="7" t="e">
        <f>Tabelle156[[#This Row],[Standardabweichung 3]]/Tabelle156[[#This Row],[Mean Visc. 3 '[mPas']3]]</f>
        <v>#VALUE!</v>
      </c>
      <c r="AG103" s="7" t="e">
        <f>1-Tabelle15638[[#This Row],[Mean Visc. 1 '[mPas']]]/#REF!</f>
        <v>#REF!</v>
      </c>
    </row>
    <row r="104" spans="1:35" s="7" customFormat="1" x14ac:dyDescent="0.3">
      <c r="A104">
        <v>103</v>
      </c>
      <c r="B104" s="4"/>
      <c r="C104" s="5"/>
      <c r="D104" s="7">
        <v>4</v>
      </c>
      <c r="E104" t="s">
        <v>167</v>
      </c>
      <c r="F104" t="s">
        <v>166</v>
      </c>
      <c r="G104" t="s">
        <v>187</v>
      </c>
      <c r="H104" s="11"/>
      <c r="I104" s="9"/>
      <c r="J104" s="7">
        <v>26</v>
      </c>
      <c r="K104" s="7">
        <v>23</v>
      </c>
      <c r="L104" s="7">
        <v>32.56</v>
      </c>
      <c r="M104" s="7">
        <v>407</v>
      </c>
      <c r="N104" s="7">
        <f>Tabelle15638[[#This Row],[Anzahl Frames]]/Tabelle15638[[#This Row],[Aufnahmezeit '[s']]]</f>
        <v>12.5</v>
      </c>
      <c r="O104" s="7">
        <f>1/Tabelle15638[[#This Row],[Mean fps ]]</f>
        <v>0.08</v>
      </c>
      <c r="P104" s="7">
        <v>40</v>
      </c>
      <c r="Q104" s="3"/>
      <c r="R104" s="11"/>
      <c r="S104" s="7">
        <v>2.3490000000000002</v>
      </c>
      <c r="T104" s="7">
        <v>1.615</v>
      </c>
      <c r="U104" s="7">
        <v>2.4670000000000001</v>
      </c>
      <c r="Z104" s="7" t="e" cm="1">
        <f t="array" ref="Z104">STABW</f>
        <v>#NAME?</v>
      </c>
      <c r="AC104" s="7" t="e">
        <f>Tabelle15638[[#This Row],[Standardabweichung 1]]/Tabelle15638[[#This Row],[Mean Visc. 1 '[mPas']]]</f>
        <v>#NAME?</v>
      </c>
      <c r="AD104" s="7" t="e">
        <f>Tabelle156[[#This Row],[Standardabweichung 2]]/Tabelle156[[#This Row],[Mean Visc. 2 '[mPas']2]]</f>
        <v>#VALUE!</v>
      </c>
      <c r="AE104" s="7" t="e">
        <f>Tabelle156[[#This Row],[Standardabweichung 3]]/Tabelle156[[#This Row],[Mean Visc. 3 '[mPas']3]]</f>
        <v>#VALUE!</v>
      </c>
      <c r="AG104" s="7" t="e">
        <f>1-Tabelle15638[[#This Row],[Mean Visc. 1 '[mPas']]]/#REF!</f>
        <v>#REF!</v>
      </c>
    </row>
    <row r="105" spans="1:35" s="7" customFormat="1" x14ac:dyDescent="0.3">
      <c r="A105">
        <v>104</v>
      </c>
      <c r="B105" s="4"/>
      <c r="C105" s="5"/>
      <c r="D105" s="7">
        <v>4</v>
      </c>
      <c r="E105" t="s">
        <v>167</v>
      </c>
      <c r="F105" t="s">
        <v>166</v>
      </c>
      <c r="G105" t="s">
        <v>187</v>
      </c>
      <c r="H105" s="11"/>
      <c r="I105" s="9"/>
      <c r="J105" s="7">
        <v>26</v>
      </c>
      <c r="K105" s="7">
        <v>23</v>
      </c>
      <c r="L105" s="7">
        <v>31.76</v>
      </c>
      <c r="M105" s="7">
        <v>397</v>
      </c>
      <c r="N105" s="7">
        <f>Tabelle15638[[#This Row],[Anzahl Frames]]/Tabelle15638[[#This Row],[Aufnahmezeit '[s']]]</f>
        <v>12.5</v>
      </c>
      <c r="O105" s="7">
        <f>1/Tabelle15638[[#This Row],[Mean fps ]]</f>
        <v>0.08</v>
      </c>
      <c r="P105" s="7">
        <v>40</v>
      </c>
      <c r="Q105" s="3"/>
      <c r="R105" s="11"/>
      <c r="S105" s="7">
        <v>2.0699999999999998</v>
      </c>
      <c r="T105" s="7">
        <v>1.4850000000000001</v>
      </c>
      <c r="U105" s="7">
        <v>2.6589999999999998</v>
      </c>
      <c r="Z105" s="7" t="e" cm="1">
        <f t="array" ref="Z105">STABW</f>
        <v>#NAME?</v>
      </c>
      <c r="AC105" s="7" t="e">
        <f>Tabelle15638[[#This Row],[Standardabweichung 1]]/Tabelle15638[[#This Row],[Mean Visc. 1 '[mPas']]]</f>
        <v>#NAME?</v>
      </c>
      <c r="AD105" s="7" t="e">
        <f>Tabelle156[[#This Row],[Standardabweichung 2]]/Tabelle156[[#This Row],[Mean Visc. 2 '[mPas']2]]</f>
        <v>#VALUE!</v>
      </c>
      <c r="AE105" s="7" t="e">
        <f>Tabelle156[[#This Row],[Standardabweichung 3]]/Tabelle156[[#This Row],[Mean Visc. 3 '[mPas']3]]</f>
        <v>#VALUE!</v>
      </c>
      <c r="AG105" s="7" t="e">
        <f>1-Tabelle15638[[#This Row],[Mean Visc. 1 '[mPas']]]/#REF!</f>
        <v>#REF!</v>
      </c>
    </row>
    <row r="106" spans="1:35" s="17" customFormat="1" ht="15" thickBot="1" x14ac:dyDescent="0.35">
      <c r="A106">
        <v>105</v>
      </c>
      <c r="B106" s="4"/>
      <c r="C106" s="5"/>
      <c r="D106" s="7">
        <v>4</v>
      </c>
      <c r="E106" t="s">
        <v>167</v>
      </c>
      <c r="F106" t="s">
        <v>166</v>
      </c>
      <c r="G106" t="s">
        <v>187</v>
      </c>
      <c r="H106" s="11"/>
      <c r="I106" s="9"/>
      <c r="J106" s="7">
        <v>26</v>
      </c>
      <c r="K106" s="7">
        <v>23</v>
      </c>
      <c r="L106" s="7">
        <v>30.98</v>
      </c>
      <c r="M106" s="7">
        <v>387</v>
      </c>
      <c r="N106" s="7">
        <f>Tabelle15638[[#This Row],[Anzahl Frames]]/Tabelle15638[[#This Row],[Aufnahmezeit '[s']]]</f>
        <v>12.491930277598451</v>
      </c>
      <c r="O106" s="7">
        <f>1/Tabelle15638[[#This Row],[Mean fps ]]</f>
        <v>8.0051679586563312E-2</v>
      </c>
      <c r="P106" s="7">
        <v>40</v>
      </c>
      <c r="Q106" s="3"/>
      <c r="R106" s="11"/>
      <c r="S106" s="7">
        <v>2.2530000000000001</v>
      </c>
      <c r="T106" s="7">
        <v>1.641</v>
      </c>
      <c r="U106" s="7">
        <v>2.4039999999999999</v>
      </c>
      <c r="V106" s="7"/>
      <c r="W106" s="7"/>
      <c r="X106" s="7"/>
      <c r="Y106" s="7"/>
      <c r="Z106" s="7" t="e" cm="1">
        <f t="array" ref="Z106">STABW</f>
        <v>#NAME?</v>
      </c>
      <c r="AA106" s="7"/>
      <c r="AB106" s="7"/>
      <c r="AC106" s="7" t="e">
        <f>Tabelle15638[[#This Row],[Standardabweichung 1]]/Tabelle15638[[#This Row],[Mean Visc. 1 '[mPas']]]</f>
        <v>#NAME?</v>
      </c>
      <c r="AD106" s="7" t="e">
        <f>Tabelle156[[#This Row],[Standardabweichung 2]]/Tabelle156[[#This Row],[Mean Visc. 2 '[mPas']2]]</f>
        <v>#VALUE!</v>
      </c>
      <c r="AE106" s="7" t="e">
        <f>Tabelle156[[#This Row],[Standardabweichung 3]]/Tabelle156[[#This Row],[Mean Visc. 3 '[mPas']3]]</f>
        <v>#VALUE!</v>
      </c>
      <c r="AF106" s="7"/>
      <c r="AG106" s="7" t="e">
        <f>1-Tabelle15638[[#This Row],[Mean Visc. 1 '[mPas']]]/#REF!</f>
        <v>#REF!</v>
      </c>
      <c r="AH106" s="7"/>
      <c r="AI106" s="7"/>
    </row>
    <row r="107" spans="1:35" s="7" customFormat="1" ht="15" thickTop="1" x14ac:dyDescent="0.3">
      <c r="A107">
        <v>106</v>
      </c>
      <c r="B107" s="4"/>
      <c r="C107" s="5"/>
      <c r="D107" s="7">
        <v>4</v>
      </c>
      <c r="E107" t="s">
        <v>167</v>
      </c>
      <c r="F107" t="s">
        <v>166</v>
      </c>
      <c r="G107" t="s">
        <v>187</v>
      </c>
      <c r="H107" s="11"/>
      <c r="I107" s="9"/>
      <c r="J107" s="7">
        <v>26</v>
      </c>
      <c r="K107" s="7">
        <v>23</v>
      </c>
      <c r="L107" s="7">
        <v>32.880000000000003</v>
      </c>
      <c r="M107" s="7">
        <v>411</v>
      </c>
      <c r="N107" s="7">
        <f>Tabelle15638[[#This Row],[Anzahl Frames]]/Tabelle15638[[#This Row],[Aufnahmezeit '[s']]]</f>
        <v>12.499999999999998</v>
      </c>
      <c r="O107" s="7">
        <f>1/Tabelle15638[[#This Row],[Mean fps ]]</f>
        <v>8.0000000000000016E-2</v>
      </c>
      <c r="P107" s="7">
        <v>40</v>
      </c>
      <c r="Q107" s="3"/>
      <c r="R107" s="11"/>
      <c r="S107" s="7">
        <v>1.9590000000000001</v>
      </c>
      <c r="T107" s="7">
        <v>1.429</v>
      </c>
      <c r="U107" s="7">
        <v>2.46</v>
      </c>
      <c r="Z107" s="7" t="e" cm="1">
        <f t="array" ref="Z107">STABW</f>
        <v>#NAME?</v>
      </c>
      <c r="AC107" s="7" t="e">
        <f>Tabelle15638[[#This Row],[Standardabweichung 1]]/Tabelle15638[[#This Row],[Mean Visc. 1 '[mPas']]]</f>
        <v>#NAME?</v>
      </c>
      <c r="AD107" s="7" t="e">
        <f>Tabelle156[[#This Row],[Standardabweichung 2]]/Tabelle156[[#This Row],[Mean Visc. 2 '[mPas']2]]</f>
        <v>#VALUE!</v>
      </c>
      <c r="AE107" s="7" t="e">
        <f>Tabelle156[[#This Row],[Standardabweichung 3]]/Tabelle156[[#This Row],[Mean Visc. 3 '[mPas']3]]</f>
        <v>#VALUE!</v>
      </c>
      <c r="AG107" s="7" t="e">
        <f>1-Tabelle15638[[#This Row],[Mean Visc. 1 '[mPas']]]/#REF!</f>
        <v>#REF!</v>
      </c>
    </row>
    <row r="108" spans="1:35" s="7" customFormat="1" x14ac:dyDescent="0.3">
      <c r="A108">
        <v>107</v>
      </c>
      <c r="B108" s="4"/>
      <c r="C108" s="5"/>
      <c r="D108" s="7">
        <v>4</v>
      </c>
      <c r="E108" t="s">
        <v>167</v>
      </c>
      <c r="F108" t="s">
        <v>166</v>
      </c>
      <c r="G108" t="s">
        <v>187</v>
      </c>
      <c r="H108" s="11"/>
      <c r="I108" s="9"/>
      <c r="J108" s="7">
        <v>26.1</v>
      </c>
      <c r="K108" s="7">
        <v>23</v>
      </c>
      <c r="L108" s="7">
        <v>36.65</v>
      </c>
      <c r="M108" s="7">
        <v>458</v>
      </c>
      <c r="N108" s="7">
        <f>Tabelle15638[[#This Row],[Anzahl Frames]]/Tabelle15638[[#This Row],[Aufnahmezeit '[s']]]</f>
        <v>12.496589358799454</v>
      </c>
      <c r="O108" s="7">
        <f>1/Tabelle15638[[#This Row],[Mean fps ]]</f>
        <v>8.0021834061135375E-2</v>
      </c>
      <c r="P108" s="7">
        <v>40</v>
      </c>
      <c r="Q108" s="3"/>
      <c r="R108" s="11"/>
      <c r="S108" s="7">
        <v>2.2389999999999999</v>
      </c>
      <c r="T108" s="7">
        <v>1.659</v>
      </c>
      <c r="U108" s="7">
        <v>2.2999999999999998</v>
      </c>
      <c r="Z108" s="7" t="e" cm="1">
        <f t="array" ref="Z108">STABW</f>
        <v>#NAME?</v>
      </c>
      <c r="AC108" s="7" t="e">
        <f>Tabelle15638[[#This Row],[Standardabweichung 1]]/Tabelle15638[[#This Row],[Mean Visc. 1 '[mPas']]]</f>
        <v>#NAME?</v>
      </c>
      <c r="AD108" s="7" t="e">
        <f>Tabelle156[[#This Row],[Standardabweichung 2]]/Tabelle156[[#This Row],[Mean Visc. 2 '[mPas']2]]</f>
        <v>#VALUE!</v>
      </c>
      <c r="AE108" s="7" t="e">
        <f>Tabelle156[[#This Row],[Standardabweichung 3]]/Tabelle156[[#This Row],[Mean Visc. 3 '[mPas']3]]</f>
        <v>#VALUE!</v>
      </c>
      <c r="AG108" s="7" t="e">
        <f>1-Tabelle15638[[#This Row],[Mean Visc. 1 '[mPas']]]/#REF!</f>
        <v>#REF!</v>
      </c>
    </row>
    <row r="109" spans="1:35" s="7" customFormat="1" x14ac:dyDescent="0.3">
      <c r="A109">
        <v>108</v>
      </c>
      <c r="B109" s="4"/>
      <c r="C109" s="5"/>
      <c r="D109" s="7">
        <v>4</v>
      </c>
      <c r="E109" t="s">
        <v>167</v>
      </c>
      <c r="F109" t="s">
        <v>166</v>
      </c>
      <c r="G109" t="s">
        <v>187</v>
      </c>
      <c r="H109" s="11"/>
      <c r="I109" s="9"/>
      <c r="J109" s="7">
        <v>26.1</v>
      </c>
      <c r="K109" s="7">
        <v>23</v>
      </c>
      <c r="L109" s="7">
        <v>34.479999999999997</v>
      </c>
      <c r="M109" s="7">
        <v>432</v>
      </c>
      <c r="N109" s="7">
        <f>Tabelle15638[[#This Row],[Anzahl Frames]]/Tabelle15638[[#This Row],[Aufnahmezeit '[s']]]</f>
        <v>12.529002320185615</v>
      </c>
      <c r="O109" s="7">
        <f>1/Tabelle15638[[#This Row],[Mean fps ]]</f>
        <v>7.9814814814814811E-2</v>
      </c>
      <c r="P109" s="7">
        <v>40</v>
      </c>
      <c r="Q109" s="3"/>
      <c r="R109" s="11"/>
      <c r="S109" s="7">
        <v>2.661</v>
      </c>
      <c r="T109" s="7">
        <v>1.9890000000000001</v>
      </c>
      <c r="U109" s="7">
        <v>2.778</v>
      </c>
      <c r="Z109" s="7" t="e" cm="1">
        <f t="array" ref="Z109">STABW</f>
        <v>#NAME?</v>
      </c>
      <c r="AC109" s="7" t="e">
        <f>Tabelle15638[[#This Row],[Standardabweichung 1]]/Tabelle15638[[#This Row],[Mean Visc. 1 '[mPas']]]</f>
        <v>#NAME?</v>
      </c>
      <c r="AD109" s="7" t="e">
        <f>Tabelle156[[#This Row],[Standardabweichung 2]]/Tabelle156[[#This Row],[Mean Visc. 2 '[mPas']2]]</f>
        <v>#VALUE!</v>
      </c>
      <c r="AE109" s="7" t="e">
        <f>Tabelle156[[#This Row],[Standardabweichung 3]]/Tabelle156[[#This Row],[Mean Visc. 3 '[mPas']3]]</f>
        <v>#VALUE!</v>
      </c>
      <c r="AG109" s="7" t="e">
        <f>1-Tabelle15638[[#This Row],[Mean Visc. 1 '[mPas']]]/#REF!</f>
        <v>#REF!</v>
      </c>
    </row>
    <row r="110" spans="1:35" s="7" customFormat="1" x14ac:dyDescent="0.3">
      <c r="A110">
        <v>109</v>
      </c>
      <c r="B110" s="4"/>
      <c r="C110" s="5"/>
      <c r="D110" s="7">
        <v>4</v>
      </c>
      <c r="E110" t="s">
        <v>167</v>
      </c>
      <c r="F110" t="s">
        <v>166</v>
      </c>
      <c r="G110" t="s">
        <v>187</v>
      </c>
      <c r="H110" s="11"/>
      <c r="I110" s="9"/>
      <c r="J110" s="7">
        <v>26.1</v>
      </c>
      <c r="K110" s="7">
        <v>23</v>
      </c>
      <c r="L110" s="7">
        <v>30.64</v>
      </c>
      <c r="M110" s="7">
        <v>383</v>
      </c>
      <c r="N110" s="7">
        <f>Tabelle15638[[#This Row],[Anzahl Frames]]/Tabelle15638[[#This Row],[Aufnahmezeit '[s']]]</f>
        <v>12.5</v>
      </c>
      <c r="O110" s="7">
        <f>1/Tabelle15638[[#This Row],[Mean fps ]]</f>
        <v>0.08</v>
      </c>
      <c r="P110" s="7">
        <v>40</v>
      </c>
      <c r="Q110" s="3"/>
      <c r="R110" s="11"/>
      <c r="S110" s="7">
        <v>2.1219999999999999</v>
      </c>
      <c r="T110" s="7">
        <v>1.5409999999999999</v>
      </c>
      <c r="U110" s="7">
        <v>2.726</v>
      </c>
      <c r="Z110" s="7" t="e" cm="1">
        <f t="array" ref="Z110">STABW</f>
        <v>#NAME?</v>
      </c>
      <c r="AC110" s="7" t="e">
        <f>Tabelle15638[[#This Row],[Standardabweichung 1]]/Tabelle15638[[#This Row],[Mean Visc. 1 '[mPas']]]</f>
        <v>#NAME?</v>
      </c>
      <c r="AD110" s="7" t="e">
        <f>Tabelle156[[#This Row],[Standardabweichung 2]]/Tabelle156[[#This Row],[Mean Visc. 2 '[mPas']2]]</f>
        <v>#VALUE!</v>
      </c>
      <c r="AE110" s="7" t="e">
        <f>Tabelle156[[#This Row],[Standardabweichung 3]]/Tabelle156[[#This Row],[Mean Visc. 3 '[mPas']3]]</f>
        <v>#VALUE!</v>
      </c>
      <c r="AG110" s="7" t="e">
        <f>1-Tabelle15638[[#This Row],[Mean Visc. 1 '[mPas']]]/#REF!</f>
        <v>#REF!</v>
      </c>
    </row>
    <row r="111" spans="1:35" s="17" customFormat="1" ht="15" thickBot="1" x14ac:dyDescent="0.35">
      <c r="A111">
        <v>110</v>
      </c>
      <c r="B111" s="15"/>
      <c r="C111" s="16"/>
      <c r="D111" s="7">
        <v>4</v>
      </c>
      <c r="E111" t="s">
        <v>167</v>
      </c>
      <c r="F111" t="s">
        <v>166</v>
      </c>
      <c r="G111" t="s">
        <v>187</v>
      </c>
      <c r="H111" s="21"/>
      <c r="I111" s="19"/>
      <c r="J111" s="17">
        <v>26.1</v>
      </c>
      <c r="K111" s="17">
        <v>23</v>
      </c>
      <c r="L111" s="17">
        <v>31.04</v>
      </c>
      <c r="M111" s="17">
        <v>389</v>
      </c>
      <c r="N111" s="17">
        <f>Tabelle15638[[#This Row],[Anzahl Frames]]/Tabelle15638[[#This Row],[Aufnahmezeit '[s']]]</f>
        <v>12.532216494845361</v>
      </c>
      <c r="O111" s="17">
        <f>1/Tabelle15638[[#This Row],[Mean fps ]]</f>
        <v>7.9794344473007706E-2</v>
      </c>
      <c r="P111" s="17">
        <v>40</v>
      </c>
      <c r="Q111" s="20"/>
      <c r="R111" s="21"/>
      <c r="S111" s="17">
        <v>2.23</v>
      </c>
      <c r="T111" s="17">
        <v>1.768</v>
      </c>
      <c r="U111" s="17">
        <v>2.65</v>
      </c>
      <c r="W111" s="7">
        <f>SUM(S102:S111)/10</f>
        <v>2.1825000000000001</v>
      </c>
      <c r="X111" s="7">
        <f>SUM(T102:T111)/10</f>
        <v>1.6190000000000002</v>
      </c>
      <c r="Y111" s="7">
        <f t="shared" ref="Y111" si="21">SUM(U102:U111)/10</f>
        <v>2.5227999999999997</v>
      </c>
      <c r="Z111" s="17">
        <f>_xlfn.STDEV.S(S102:S111)</f>
        <v>0.218842535983194</v>
      </c>
      <c r="AA111" s="17">
        <f t="shared" ref="AA111" si="22">_xlfn.STDEV.S(T102:T111)</f>
        <v>0.18077426070470701</v>
      </c>
      <c r="AB111" s="17">
        <f>_xlfn.STDEV.S(U102:U111)</f>
        <v>0.16712523580968985</v>
      </c>
      <c r="AC111" s="17">
        <f>Tabelle15638[[#This Row],[Standardabweichung 1]]/Tabelle15638[[#This Row],[Mean Visc. 1 '[mPas']]]</f>
        <v>0.10027149415037526</v>
      </c>
      <c r="AD111" s="17">
        <f>Tabelle15638[[#This Row],[Standardabweichung 2]]/Tabelle15638[[#This Row],[Mean Visc. 2 '[mPas']2]]</f>
        <v>0.11165797449333353</v>
      </c>
      <c r="AE111" s="17">
        <f>Tabelle15638[[#This Row],[Standardabweichung 3]]/Tabelle15638[[#This Row],[Mean Visc. 3 '[mPas']3]]</f>
        <v>6.6245931429241275E-2</v>
      </c>
      <c r="AG111" s="17" t="e">
        <f>1-Tabelle15638[[#This Row],[Mean Visc. 1 '[mPas']]]/#REF!</f>
        <v>#REF!</v>
      </c>
    </row>
    <row r="112" spans="1:35" s="7" customFormat="1" ht="15" thickTop="1" x14ac:dyDescent="0.3">
      <c r="A112">
        <v>111</v>
      </c>
      <c r="B112" s="4"/>
      <c r="C112" s="5"/>
      <c r="D112" s="7">
        <v>4</v>
      </c>
      <c r="E112" t="s">
        <v>167</v>
      </c>
      <c r="F112" t="s">
        <v>166</v>
      </c>
      <c r="G112" t="s">
        <v>188</v>
      </c>
      <c r="H112" s="11"/>
      <c r="I112" s="9"/>
      <c r="J112" s="7">
        <v>26.1</v>
      </c>
      <c r="K112" s="7">
        <v>23</v>
      </c>
      <c r="L112" s="7">
        <v>30.56</v>
      </c>
      <c r="M112" s="7">
        <v>382</v>
      </c>
      <c r="N112" s="7">
        <f>Tabelle15638[[#This Row],[Anzahl Frames]]/Tabelle15638[[#This Row],[Aufnahmezeit '[s']]]</f>
        <v>12.5</v>
      </c>
      <c r="O112" s="7">
        <f>1/Tabelle15638[[#This Row],[Mean fps ]]</f>
        <v>0.08</v>
      </c>
      <c r="P112" s="7">
        <v>40</v>
      </c>
      <c r="Q112" s="3"/>
      <c r="R112" s="11"/>
      <c r="S112" s="7">
        <v>0.78600000000000003</v>
      </c>
      <c r="T112" s="7">
        <v>0.66400000000000003</v>
      </c>
      <c r="U112" s="7">
        <v>1.2689999999999999</v>
      </c>
      <c r="Z112" s="7" t="e" cm="1">
        <f t="array" ref="Z112">STABW</f>
        <v>#NAME?</v>
      </c>
      <c r="AC112" s="7" t="e">
        <f>Tabelle15638[[#This Row],[Standardabweichung 1]]/Tabelle15638[[#This Row],[Mean Visc. 1 '[mPas']]]</f>
        <v>#NAME?</v>
      </c>
      <c r="AD112" s="7" t="e">
        <f>Tabelle156[[#This Row],[Standardabweichung 2]]/Tabelle156[[#This Row],[Mean Visc. 2 '[mPas']2]]</f>
        <v>#VALUE!</v>
      </c>
      <c r="AE112" s="7" t="e">
        <f>Tabelle156[[#This Row],[Standardabweichung 3]]/Tabelle156[[#This Row],[Mean Visc. 3 '[mPas']3]]</f>
        <v>#VALUE!</v>
      </c>
      <c r="AG112" s="7" t="e">
        <f>1-Tabelle15638[[#This Row],[Mean Visc. 1 '[mPas']]]/#REF!</f>
        <v>#REF!</v>
      </c>
    </row>
    <row r="113" spans="1:33" s="7" customFormat="1" x14ac:dyDescent="0.3">
      <c r="A113">
        <v>112</v>
      </c>
      <c r="B113" s="4"/>
      <c r="C113" s="5"/>
      <c r="D113" s="7">
        <v>4</v>
      </c>
      <c r="E113" t="s">
        <v>167</v>
      </c>
      <c r="F113" t="s">
        <v>166</v>
      </c>
      <c r="G113" t="s">
        <v>188</v>
      </c>
      <c r="H113" s="11"/>
      <c r="I113" s="9"/>
      <c r="J113" s="7">
        <v>26.2</v>
      </c>
      <c r="K113" s="7">
        <v>23</v>
      </c>
      <c r="L113" s="7">
        <v>30.96</v>
      </c>
      <c r="M113" s="7">
        <v>387</v>
      </c>
      <c r="N113" s="7">
        <f>Tabelle15638[[#This Row],[Anzahl Frames]]/Tabelle15638[[#This Row],[Aufnahmezeit '[s']]]</f>
        <v>12.5</v>
      </c>
      <c r="O113" s="7">
        <f>1/Tabelle15638[[#This Row],[Mean fps ]]</f>
        <v>0.08</v>
      </c>
      <c r="P113" s="7">
        <v>40</v>
      </c>
      <c r="Q113" s="3"/>
      <c r="R113" s="11"/>
      <c r="S113" s="7">
        <v>0.83699999999999997</v>
      </c>
      <c r="T113" s="7">
        <v>0.70899999999999996</v>
      </c>
      <c r="U113" s="7">
        <v>1.272</v>
      </c>
      <c r="Z113" s="7" t="e" cm="1">
        <f t="array" ref="Z113">STABW</f>
        <v>#NAME?</v>
      </c>
      <c r="AC113" s="7" t="e">
        <f>Tabelle15638[[#This Row],[Standardabweichung 1]]/Tabelle15638[[#This Row],[Mean Visc. 1 '[mPas']]]</f>
        <v>#NAME?</v>
      </c>
      <c r="AD113" s="7" t="e">
        <f>Tabelle156[[#This Row],[Standardabweichung 2]]/Tabelle156[[#This Row],[Mean Visc. 2 '[mPas']2]]</f>
        <v>#VALUE!</v>
      </c>
      <c r="AE113" s="7" t="e">
        <f>Tabelle156[[#This Row],[Standardabweichung 3]]/Tabelle156[[#This Row],[Mean Visc. 3 '[mPas']3]]</f>
        <v>#VALUE!</v>
      </c>
      <c r="AG113" s="7" t="e">
        <f>1-Tabelle15638[[#This Row],[Mean Visc. 1 '[mPas']]]/#REF!</f>
        <v>#REF!</v>
      </c>
    </row>
    <row r="114" spans="1:33" s="7" customFormat="1" x14ac:dyDescent="0.3">
      <c r="A114">
        <v>113</v>
      </c>
      <c r="B114" s="4"/>
      <c r="C114" s="5"/>
      <c r="D114" s="7">
        <v>4</v>
      </c>
      <c r="E114" t="s">
        <v>167</v>
      </c>
      <c r="F114" t="s">
        <v>166</v>
      </c>
      <c r="G114" t="s">
        <v>188</v>
      </c>
      <c r="H114" s="11"/>
      <c r="I114" s="9"/>
      <c r="J114" s="7">
        <v>26.2</v>
      </c>
      <c r="K114" s="7">
        <v>23</v>
      </c>
      <c r="L114" s="7">
        <v>35.049999999999997</v>
      </c>
      <c r="M114" s="7">
        <v>438</v>
      </c>
      <c r="N114" s="7">
        <f>Tabelle15638[[#This Row],[Anzahl Frames]]/Tabelle15638[[#This Row],[Aufnahmezeit '[s']]]</f>
        <v>12.496433666191157</v>
      </c>
      <c r="O114" s="7">
        <f>1/Tabelle15638[[#This Row],[Mean fps ]]</f>
        <v>8.0022831050228296E-2</v>
      </c>
      <c r="P114" s="7">
        <v>40</v>
      </c>
      <c r="Q114" s="3"/>
      <c r="R114" s="11"/>
      <c r="S114" s="7">
        <v>0.79800000000000004</v>
      </c>
      <c r="T114" s="7">
        <v>0.65100000000000002</v>
      </c>
      <c r="U114" s="7">
        <v>1.2849999999999999</v>
      </c>
      <c r="Z114" s="7" t="e" cm="1">
        <f t="array" ref="Z114">STABW</f>
        <v>#NAME?</v>
      </c>
      <c r="AC114" s="7" t="e">
        <f>Tabelle15638[[#This Row],[Standardabweichung 1]]/Tabelle15638[[#This Row],[Mean Visc. 1 '[mPas']]]</f>
        <v>#NAME?</v>
      </c>
      <c r="AD114" s="7" t="e">
        <f>Tabelle156[[#This Row],[Standardabweichung 2]]/Tabelle156[[#This Row],[Mean Visc. 2 '[mPas']2]]</f>
        <v>#VALUE!</v>
      </c>
      <c r="AE114" s="7" t="e">
        <f>Tabelle156[[#This Row],[Standardabweichung 3]]/Tabelle156[[#This Row],[Mean Visc. 3 '[mPas']3]]</f>
        <v>#VALUE!</v>
      </c>
      <c r="AG114" s="7" t="e">
        <f>1-Tabelle15638[[#This Row],[Mean Visc. 1 '[mPas']]]/#REF!</f>
        <v>#REF!</v>
      </c>
    </row>
    <row r="115" spans="1:33" s="7" customFormat="1" x14ac:dyDescent="0.3">
      <c r="A115">
        <v>114</v>
      </c>
      <c r="B115" s="4"/>
      <c r="C115" s="5"/>
      <c r="D115" s="7">
        <v>4</v>
      </c>
      <c r="E115" t="s">
        <v>167</v>
      </c>
      <c r="F115" t="s">
        <v>166</v>
      </c>
      <c r="G115" t="s">
        <v>188</v>
      </c>
      <c r="H115" s="11"/>
      <c r="I115" s="9"/>
      <c r="J115" s="7">
        <v>26.2</v>
      </c>
      <c r="K115" s="7">
        <v>23</v>
      </c>
      <c r="L115" s="7">
        <v>31.84</v>
      </c>
      <c r="M115" s="7">
        <v>399</v>
      </c>
      <c r="N115" s="7">
        <f>Tabelle15638[[#This Row],[Anzahl Frames]]/Tabelle15638[[#This Row],[Aufnahmezeit '[s']]]</f>
        <v>12.53140703517588</v>
      </c>
      <c r="O115" s="7">
        <f>1/Tabelle15638[[#This Row],[Mean fps ]]</f>
        <v>7.9799498746867162E-2</v>
      </c>
      <c r="P115" s="7">
        <v>40</v>
      </c>
      <c r="Q115" s="3"/>
      <c r="R115" s="11"/>
      <c r="S115" s="7">
        <v>0.79900000000000004</v>
      </c>
      <c r="T115" s="7">
        <v>0.66600000000000004</v>
      </c>
      <c r="U115" s="7">
        <v>1.2789999999999999</v>
      </c>
      <c r="Z115" s="7" t="e" cm="1">
        <f t="array" ref="Z115">STABW</f>
        <v>#NAME?</v>
      </c>
      <c r="AC115" s="7" t="e">
        <f>Tabelle15638[[#This Row],[Standardabweichung 1]]/Tabelle15638[[#This Row],[Mean Visc. 1 '[mPas']]]</f>
        <v>#NAME?</v>
      </c>
      <c r="AD115" s="7" t="e">
        <f>Tabelle156[[#This Row],[Standardabweichung 2]]/Tabelle156[[#This Row],[Mean Visc. 2 '[mPas']2]]</f>
        <v>#VALUE!</v>
      </c>
      <c r="AE115" s="7" t="e">
        <f>Tabelle156[[#This Row],[Standardabweichung 3]]/Tabelle156[[#This Row],[Mean Visc. 3 '[mPas']3]]</f>
        <v>#VALUE!</v>
      </c>
      <c r="AG115" s="7" t="e">
        <f>1-Tabelle15638[[#This Row],[Mean Visc. 1 '[mPas']]]/#REF!</f>
        <v>#REF!</v>
      </c>
    </row>
    <row r="116" spans="1:33" s="17" customFormat="1" ht="15" thickBot="1" x14ac:dyDescent="0.35">
      <c r="A116">
        <v>115</v>
      </c>
      <c r="B116" s="15"/>
      <c r="C116" s="16"/>
      <c r="D116" s="7">
        <v>4</v>
      </c>
      <c r="E116" t="s">
        <v>167</v>
      </c>
      <c r="F116" t="s">
        <v>166</v>
      </c>
      <c r="G116" t="s">
        <v>188</v>
      </c>
      <c r="H116" s="21"/>
      <c r="I116" s="19"/>
      <c r="J116" s="17">
        <v>26.2</v>
      </c>
      <c r="K116" s="17">
        <v>23</v>
      </c>
      <c r="L116" s="17">
        <v>28.63</v>
      </c>
      <c r="M116" s="17">
        <v>358</v>
      </c>
      <c r="N116" s="17">
        <f>Tabelle15638[[#This Row],[Anzahl Frames]]/Tabelle15638[[#This Row],[Aufnahmezeit '[s']]]</f>
        <v>12.504366049598325</v>
      </c>
      <c r="O116" s="17">
        <f>1/Tabelle15638[[#This Row],[Mean fps ]]</f>
        <v>7.9972067039106143E-2</v>
      </c>
      <c r="P116" s="17">
        <v>40</v>
      </c>
      <c r="Q116" s="20"/>
      <c r="R116" s="21"/>
      <c r="S116" s="17">
        <v>0.83399999999999996</v>
      </c>
      <c r="T116" s="17">
        <v>0.68899999999999995</v>
      </c>
      <c r="U116" s="17">
        <v>1.2669999999999999</v>
      </c>
      <c r="Z116" s="17" t="e" cm="1">
        <f t="array" ref="Z116">STABW</f>
        <v>#NAME?</v>
      </c>
      <c r="AC116" s="17" t="e">
        <f>Tabelle15638[[#This Row],[Standardabweichung 1]]/Tabelle15638[[#This Row],[Mean Visc. 1 '[mPas']]]</f>
        <v>#NAME?</v>
      </c>
      <c r="AD116" s="17" t="e">
        <f>Tabelle156[[#This Row],[Standardabweichung 2]]/Tabelle156[[#This Row],[Mean Visc. 2 '[mPas']2]]</f>
        <v>#VALUE!</v>
      </c>
      <c r="AE116" s="17" t="e">
        <f>Tabelle156[[#This Row],[Standardabweichung 3]]/Tabelle156[[#This Row],[Mean Visc. 3 '[mPas']3]]</f>
        <v>#VALUE!</v>
      </c>
      <c r="AG116" s="17" t="e">
        <f>1-Tabelle15638[[#This Row],[Mean Visc. 1 '[mPas']]]/#REF!</f>
        <v>#REF!</v>
      </c>
    </row>
    <row r="117" spans="1:33" s="7" customFormat="1" ht="15" thickTop="1" x14ac:dyDescent="0.3">
      <c r="A117">
        <v>116</v>
      </c>
      <c r="B117" s="4"/>
      <c r="C117" s="5"/>
      <c r="D117" s="7">
        <v>4</v>
      </c>
      <c r="E117" t="s">
        <v>167</v>
      </c>
      <c r="F117" t="s">
        <v>166</v>
      </c>
      <c r="G117" t="s">
        <v>188</v>
      </c>
      <c r="H117" s="11"/>
      <c r="I117" s="9"/>
      <c r="J117" s="7">
        <v>26.2</v>
      </c>
      <c r="K117" s="7">
        <v>23</v>
      </c>
      <c r="L117" s="7">
        <v>34.39</v>
      </c>
      <c r="M117" s="7">
        <v>430</v>
      </c>
      <c r="N117" s="7">
        <f>Tabelle15638[[#This Row],[Anzahl Frames]]/Tabelle15638[[#This Row],[Aufnahmezeit '[s']]]</f>
        <v>12.503634777551614</v>
      </c>
      <c r="O117" s="7">
        <f>1/Tabelle15638[[#This Row],[Mean fps ]]</f>
        <v>7.9976744186046514E-2</v>
      </c>
      <c r="P117" s="7">
        <v>40</v>
      </c>
      <c r="Q117" s="3"/>
      <c r="R117" s="11"/>
      <c r="S117" s="7">
        <v>0.84599999999999997</v>
      </c>
      <c r="T117" s="7">
        <v>0.75</v>
      </c>
      <c r="U117" s="7">
        <v>1.286</v>
      </c>
      <c r="Z117" s="7" t="e" cm="1">
        <f t="array" ref="Z117">STABW</f>
        <v>#NAME?</v>
      </c>
      <c r="AC117" s="7" t="e">
        <f>Tabelle15638[[#This Row],[Standardabweichung 1]]/Tabelle15638[[#This Row],[Mean Visc. 1 '[mPas']]]</f>
        <v>#NAME?</v>
      </c>
      <c r="AD117" s="7" t="e">
        <f>Tabelle156[[#This Row],[Standardabweichung 2]]/Tabelle156[[#This Row],[Mean Visc. 2 '[mPas']2]]</f>
        <v>#VALUE!</v>
      </c>
      <c r="AE117" s="7" t="e">
        <f>Tabelle156[[#This Row],[Standardabweichung 3]]/Tabelle156[[#This Row],[Mean Visc. 3 '[mPas']3]]</f>
        <v>#VALUE!</v>
      </c>
      <c r="AG117" s="7" t="e">
        <f>1-Tabelle15638[[#This Row],[Mean Visc. 1 '[mPas']]]/#REF!</f>
        <v>#REF!</v>
      </c>
    </row>
    <row r="118" spans="1:33" s="7" customFormat="1" x14ac:dyDescent="0.3">
      <c r="A118">
        <v>117</v>
      </c>
      <c r="B118" s="4"/>
      <c r="C118" s="5"/>
      <c r="D118" s="7">
        <v>4</v>
      </c>
      <c r="E118" t="s">
        <v>167</v>
      </c>
      <c r="F118" t="s">
        <v>166</v>
      </c>
      <c r="G118" t="s">
        <v>188</v>
      </c>
      <c r="H118" s="11"/>
      <c r="I118" s="9"/>
      <c r="J118" s="7">
        <v>26.2</v>
      </c>
      <c r="K118" s="7">
        <v>23</v>
      </c>
      <c r="L118" s="7">
        <v>32.96</v>
      </c>
      <c r="M118" s="7">
        <v>413</v>
      </c>
      <c r="N118" s="7">
        <f>Tabelle15638[[#This Row],[Anzahl Frames]]/Tabelle15638[[#This Row],[Aufnahmezeit '[s']]]</f>
        <v>12.530339805825243</v>
      </c>
      <c r="O118" s="7">
        <f>1/Tabelle15638[[#This Row],[Mean fps ]]</f>
        <v>7.9806295399515739E-2</v>
      </c>
      <c r="P118" s="7">
        <v>40</v>
      </c>
      <c r="Q118" s="3"/>
      <c r="R118" s="11"/>
      <c r="S118" s="7">
        <v>0.82599999999999996</v>
      </c>
      <c r="T118" s="7">
        <v>0.70099999999999996</v>
      </c>
      <c r="U118" s="7">
        <v>1.2430000000000001</v>
      </c>
      <c r="Z118" s="7" t="e" cm="1">
        <f t="array" ref="Z118">STABW</f>
        <v>#NAME?</v>
      </c>
      <c r="AC118" s="7" t="e">
        <f>Tabelle15638[[#This Row],[Standardabweichung 1]]/Tabelle15638[[#This Row],[Mean Visc. 1 '[mPas']]]</f>
        <v>#NAME?</v>
      </c>
      <c r="AD118" s="7" t="e">
        <f>Tabelle156[[#This Row],[Standardabweichung 2]]/Tabelle156[[#This Row],[Mean Visc. 2 '[mPas']2]]</f>
        <v>#VALUE!</v>
      </c>
      <c r="AE118" s="7" t="e">
        <f>Tabelle156[[#This Row],[Standardabweichung 3]]/Tabelle156[[#This Row],[Mean Visc. 3 '[mPas']3]]</f>
        <v>#VALUE!</v>
      </c>
      <c r="AG118" s="7" t="e">
        <f>1-Tabelle15638[[#This Row],[Mean Visc. 1 '[mPas']]]/#REF!</f>
        <v>#REF!</v>
      </c>
    </row>
    <row r="119" spans="1:33" s="7" customFormat="1" x14ac:dyDescent="0.3">
      <c r="A119">
        <v>118</v>
      </c>
      <c r="B119" s="4"/>
      <c r="C119" s="5"/>
      <c r="D119" s="7">
        <v>4</v>
      </c>
      <c r="E119" t="s">
        <v>167</v>
      </c>
      <c r="F119" t="s">
        <v>166</v>
      </c>
      <c r="G119" t="s">
        <v>188</v>
      </c>
      <c r="H119" s="11"/>
      <c r="I119" s="9"/>
      <c r="J119" s="7">
        <v>26.2</v>
      </c>
      <c r="K119" s="7">
        <v>23</v>
      </c>
      <c r="L119" s="7">
        <v>31.84</v>
      </c>
      <c r="M119" s="7">
        <v>398</v>
      </c>
      <c r="N119" s="7">
        <f>Tabelle15638[[#This Row],[Anzahl Frames]]/Tabelle15638[[#This Row],[Aufnahmezeit '[s']]]</f>
        <v>12.5</v>
      </c>
      <c r="O119" s="7">
        <f>1/Tabelle15638[[#This Row],[Mean fps ]]</f>
        <v>0.08</v>
      </c>
      <c r="P119" s="7">
        <v>40</v>
      </c>
      <c r="Q119" s="3"/>
      <c r="R119" s="11"/>
      <c r="S119" s="7">
        <v>0.83299999999999996</v>
      </c>
      <c r="T119" s="7">
        <v>0.71899999999999997</v>
      </c>
      <c r="U119" s="7">
        <v>1.2589999999999999</v>
      </c>
      <c r="Z119" s="7" t="e" cm="1">
        <f t="array" ref="Z119">STABW</f>
        <v>#NAME?</v>
      </c>
      <c r="AC119" s="7" t="e">
        <f>Tabelle15638[[#This Row],[Standardabweichung 1]]/Tabelle15638[[#This Row],[Mean Visc. 1 '[mPas']]]</f>
        <v>#NAME?</v>
      </c>
      <c r="AD119" s="7" t="e">
        <f>Tabelle156[[#This Row],[Standardabweichung 2]]/Tabelle156[[#This Row],[Mean Visc. 2 '[mPas']2]]</f>
        <v>#VALUE!</v>
      </c>
      <c r="AE119" s="7" t="e">
        <f>Tabelle156[[#This Row],[Standardabweichung 3]]/Tabelle156[[#This Row],[Mean Visc. 3 '[mPas']3]]</f>
        <v>#VALUE!</v>
      </c>
      <c r="AG119" s="7" t="e">
        <f>1-Tabelle15638[[#This Row],[Mean Visc. 1 '[mPas']]]/#REF!</f>
        <v>#REF!</v>
      </c>
    </row>
    <row r="120" spans="1:33" s="7" customFormat="1" x14ac:dyDescent="0.3">
      <c r="A120">
        <v>119</v>
      </c>
      <c r="B120" s="4"/>
      <c r="C120" s="5"/>
      <c r="D120" s="7">
        <v>4</v>
      </c>
      <c r="E120" t="s">
        <v>167</v>
      </c>
      <c r="F120" t="s">
        <v>166</v>
      </c>
      <c r="G120" t="s">
        <v>188</v>
      </c>
      <c r="H120" s="11"/>
      <c r="I120" s="9"/>
      <c r="J120" s="7">
        <v>26.2</v>
      </c>
      <c r="K120" s="7">
        <v>23</v>
      </c>
      <c r="L120" s="7">
        <v>35.200000000000003</v>
      </c>
      <c r="M120" s="7">
        <v>441</v>
      </c>
      <c r="N120" s="7">
        <f>Tabelle15638[[#This Row],[Anzahl Frames]]/Tabelle15638[[#This Row],[Aufnahmezeit '[s']]]</f>
        <v>12.52840909090909</v>
      </c>
      <c r="O120" s="7">
        <f>1/Tabelle15638[[#This Row],[Mean fps ]]</f>
        <v>7.9818594104308402E-2</v>
      </c>
      <c r="P120" s="7">
        <v>40</v>
      </c>
      <c r="Q120" s="3"/>
      <c r="R120" s="11"/>
      <c r="S120" s="7">
        <v>0.84499999999999997</v>
      </c>
      <c r="T120" s="7">
        <v>0.73599999999999999</v>
      </c>
      <c r="U120" s="7">
        <v>1.3089999999999999</v>
      </c>
      <c r="Z120" s="7" t="e" cm="1">
        <f t="array" ref="Z120">STABW</f>
        <v>#NAME?</v>
      </c>
      <c r="AC120" s="7" t="e">
        <f>Tabelle15638[[#This Row],[Standardabweichung 1]]/Tabelle15638[[#This Row],[Mean Visc. 1 '[mPas']]]</f>
        <v>#NAME?</v>
      </c>
      <c r="AD120" s="7" t="e">
        <f>Tabelle156[[#This Row],[Standardabweichung 2]]/Tabelle156[[#This Row],[Mean Visc. 2 '[mPas']2]]</f>
        <v>#VALUE!</v>
      </c>
      <c r="AE120" s="7" t="e">
        <f>Tabelle156[[#This Row],[Standardabweichung 3]]/Tabelle156[[#This Row],[Mean Visc. 3 '[mPas']3]]</f>
        <v>#VALUE!</v>
      </c>
      <c r="AG120" s="7" t="e">
        <f>1-Tabelle15638[[#This Row],[Mean Visc. 1 '[mPas']]]/#REF!</f>
        <v>#REF!</v>
      </c>
    </row>
    <row r="121" spans="1:33" s="17" customFormat="1" ht="15" thickBot="1" x14ac:dyDescent="0.35">
      <c r="A121">
        <v>120</v>
      </c>
      <c r="B121" s="15"/>
      <c r="C121" s="16"/>
      <c r="D121" s="7">
        <v>4</v>
      </c>
      <c r="E121" t="s">
        <v>167</v>
      </c>
      <c r="F121" t="s">
        <v>166</v>
      </c>
      <c r="G121" t="s">
        <v>188</v>
      </c>
      <c r="H121" s="21"/>
      <c r="I121" s="19"/>
      <c r="J121" s="17">
        <v>26.2</v>
      </c>
      <c r="K121" s="17">
        <v>23</v>
      </c>
      <c r="L121" s="17">
        <v>31.2</v>
      </c>
      <c r="M121" s="17">
        <v>390</v>
      </c>
      <c r="N121" s="17">
        <f>Tabelle15638[[#This Row],[Anzahl Frames]]/Tabelle15638[[#This Row],[Aufnahmezeit '[s']]]</f>
        <v>12.5</v>
      </c>
      <c r="O121" s="17">
        <f>1/Tabelle15638[[#This Row],[Mean fps ]]</f>
        <v>0.08</v>
      </c>
      <c r="P121" s="17">
        <v>40</v>
      </c>
      <c r="Q121" s="20"/>
      <c r="R121" s="21"/>
      <c r="S121" s="17">
        <v>0.78</v>
      </c>
      <c r="T121" s="17">
        <v>0.65200000000000002</v>
      </c>
      <c r="U121" s="17">
        <v>1.3029999999999999</v>
      </c>
      <c r="W121" s="7">
        <f>SUM(S112:S121)/10</f>
        <v>0.81839999999999991</v>
      </c>
      <c r="X121" s="7">
        <f>SUM(T112:T121)/10</f>
        <v>0.69369999999999998</v>
      </c>
      <c r="Y121" s="7">
        <f t="shared" ref="Y121" si="23">SUM(U112:U121)/10</f>
        <v>1.2771999999999999</v>
      </c>
      <c r="Z121" s="17">
        <f>_xlfn.STDEV.S(S112:S121)</f>
        <v>2.5047510410772886E-2</v>
      </c>
      <c r="AA121" s="17">
        <f t="shared" ref="AA121" si="24">_xlfn.STDEV.S(T112:T121)</f>
        <v>3.5150628254224207E-2</v>
      </c>
      <c r="AB121" s="17">
        <f>_xlfn.STDEV.S(U112:U121)</f>
        <v>1.9769786150700863E-2</v>
      </c>
      <c r="AC121" s="17">
        <f>Tabelle15638[[#This Row],[Standardabweichung 1]]/Tabelle15638[[#This Row],[Mean Visc. 1 '[mPas']]]</f>
        <v>3.0605462378754753E-2</v>
      </c>
      <c r="AD121" s="17">
        <f>Tabelle15638[[#This Row],[Standardabweichung 2]]/Tabelle15638[[#This Row],[Mean Visc. 2 '[mPas']2]]</f>
        <v>5.0671224238466497E-2</v>
      </c>
      <c r="AE121" s="17">
        <f>Tabelle15638[[#This Row],[Standardabweichung 3]]/Tabelle15638[[#This Row],[Mean Visc. 3 '[mPas']3]]</f>
        <v>1.5479005755324824E-2</v>
      </c>
      <c r="AG121" s="17" t="e">
        <f>1-Tabelle15638[[#This Row],[Mean Visc. 1 '[mPas']]]/#REF!</f>
        <v>#REF!</v>
      </c>
    </row>
    <row r="122" spans="1:33" s="7" customFormat="1" ht="15" thickTop="1" x14ac:dyDescent="0.3">
      <c r="A122">
        <v>121</v>
      </c>
      <c r="B122" s="4"/>
      <c r="C122" s="5"/>
      <c r="D122" s="7">
        <v>5</v>
      </c>
      <c r="E122" t="s">
        <v>189</v>
      </c>
      <c r="F122" t="s">
        <v>175</v>
      </c>
      <c r="G122" t="s">
        <v>186</v>
      </c>
      <c r="H122" s="11"/>
      <c r="I122" s="9"/>
      <c r="J122" s="7">
        <v>23.3</v>
      </c>
      <c r="K122" s="7">
        <v>24</v>
      </c>
      <c r="L122" s="7">
        <v>37.08</v>
      </c>
      <c r="M122" s="7">
        <v>468</v>
      </c>
      <c r="N122" s="7">
        <f>Tabelle15638[[#This Row],[Anzahl Frames]]/Tabelle15638[[#This Row],[Aufnahmezeit '[s']]]</f>
        <v>12.621359223300971</v>
      </c>
      <c r="O122" s="7">
        <f>1/Tabelle15638[[#This Row],[Mean fps ]]</f>
        <v>7.923076923076923E-2</v>
      </c>
      <c r="P122" s="7">
        <v>40</v>
      </c>
      <c r="Q122" s="3"/>
      <c r="R122" s="11"/>
      <c r="S122" s="7">
        <v>2.3530000000000002</v>
      </c>
      <c r="T122" s="7">
        <v>1.8109999999999999</v>
      </c>
      <c r="U122" s="7">
        <v>2.5169999999999999</v>
      </c>
      <c r="Z122" s="7" t="e" cm="1">
        <f t="array" ref="Z122">STABW</f>
        <v>#NAME?</v>
      </c>
      <c r="AC122" s="7" t="e">
        <f>Tabelle15638[[#This Row],[Standardabweichung 1]]/Tabelle15638[[#This Row],[Mean Visc. 1 '[mPas']]]</f>
        <v>#NAME?</v>
      </c>
      <c r="AD122" s="7" t="e">
        <f>Tabelle156[[#This Row],[Standardabweichung 2]]/Tabelle156[[#This Row],[Mean Visc. 2 '[mPas']2]]</f>
        <v>#VALUE!</v>
      </c>
      <c r="AE122" s="7" t="e">
        <f>Tabelle156[[#This Row],[Standardabweichung 3]]/Tabelle156[[#This Row],[Mean Visc. 3 '[mPas']3]]</f>
        <v>#VALUE!</v>
      </c>
      <c r="AG122" s="7" t="e">
        <f>1-Tabelle15638[[#This Row],[Mean Visc. 1 '[mPas']]]/#REF!</f>
        <v>#REF!</v>
      </c>
    </row>
    <row r="123" spans="1:33" s="7" customFormat="1" x14ac:dyDescent="0.3">
      <c r="A123">
        <v>122</v>
      </c>
      <c r="B123" s="4"/>
      <c r="C123" s="5"/>
      <c r="D123" s="7">
        <v>5</v>
      </c>
      <c r="E123" t="s">
        <v>189</v>
      </c>
      <c r="F123" t="s">
        <v>175</v>
      </c>
      <c r="G123" t="s">
        <v>186</v>
      </c>
      <c r="H123" s="11"/>
      <c r="I123" s="9"/>
      <c r="J123" s="7">
        <v>24.1</v>
      </c>
      <c r="K123" s="7">
        <v>23</v>
      </c>
      <c r="L123" s="7">
        <v>31.92</v>
      </c>
      <c r="M123" s="7">
        <v>400</v>
      </c>
      <c r="N123" s="7">
        <f>Tabelle15638[[#This Row],[Anzahl Frames]]/Tabelle15638[[#This Row],[Aufnahmezeit '[s']]]</f>
        <v>12.531328320802004</v>
      </c>
      <c r="O123" s="7">
        <f>1/Tabelle15638[[#This Row],[Mean fps ]]</f>
        <v>7.980000000000001E-2</v>
      </c>
      <c r="P123" s="7">
        <v>40</v>
      </c>
      <c r="Q123" s="3"/>
      <c r="R123" s="11"/>
      <c r="S123" s="7">
        <v>2.88</v>
      </c>
      <c r="T123" s="7">
        <v>2.2749999999999999</v>
      </c>
      <c r="U123" s="7">
        <v>2.61</v>
      </c>
      <c r="Z123" s="7" t="e" cm="1">
        <f t="array" ref="Z123">STABW</f>
        <v>#NAME?</v>
      </c>
      <c r="AC123" s="7" t="e">
        <f>Tabelle15638[[#This Row],[Standardabweichung 1]]/Tabelle15638[[#This Row],[Mean Visc. 1 '[mPas']]]</f>
        <v>#NAME?</v>
      </c>
      <c r="AD123" s="7" t="e">
        <f>Tabelle156[[#This Row],[Standardabweichung 2]]/Tabelle156[[#This Row],[Mean Visc. 2 '[mPas']2]]</f>
        <v>#VALUE!</v>
      </c>
      <c r="AE123" s="7" t="e">
        <f>Tabelle156[[#This Row],[Standardabweichung 3]]/Tabelle156[[#This Row],[Mean Visc. 3 '[mPas']3]]</f>
        <v>#VALUE!</v>
      </c>
      <c r="AG123" s="7" t="e">
        <f>1-Tabelle15638[[#This Row],[Mean Visc. 1 '[mPas']]]/#REF!</f>
        <v>#REF!</v>
      </c>
    </row>
    <row r="124" spans="1:33" s="7" customFormat="1" x14ac:dyDescent="0.3">
      <c r="A124">
        <v>123</v>
      </c>
      <c r="B124" s="4"/>
      <c r="C124" s="5"/>
      <c r="D124" s="7">
        <v>5</v>
      </c>
      <c r="E124" t="s">
        <v>189</v>
      </c>
      <c r="F124" t="s">
        <v>175</v>
      </c>
      <c r="G124" t="s">
        <v>186</v>
      </c>
      <c r="H124" s="11"/>
      <c r="I124" s="9"/>
      <c r="J124" s="7">
        <v>24.4</v>
      </c>
      <c r="K124" s="7">
        <v>23</v>
      </c>
      <c r="L124" s="7">
        <v>35.68</v>
      </c>
      <c r="M124" s="7">
        <v>447</v>
      </c>
      <c r="N124" s="7">
        <f>Tabelle15638[[#This Row],[Anzahl Frames]]/Tabelle15638[[#This Row],[Aufnahmezeit '[s']]]</f>
        <v>12.528026905829597</v>
      </c>
      <c r="O124" s="7">
        <f>1/Tabelle15638[[#This Row],[Mean fps ]]</f>
        <v>7.9821029082774053E-2</v>
      </c>
      <c r="P124" s="7">
        <v>40</v>
      </c>
      <c r="Q124" s="3"/>
      <c r="R124" s="11"/>
      <c r="S124" s="7">
        <v>2.8039999999999998</v>
      </c>
      <c r="T124" s="7">
        <v>2.056</v>
      </c>
      <c r="U124" s="7">
        <v>2.6850000000000001</v>
      </c>
      <c r="Z124" s="7" t="e" cm="1">
        <f t="array" ref="Z124">STABW</f>
        <v>#NAME?</v>
      </c>
      <c r="AC124" s="7" t="e">
        <f>Tabelle15638[[#This Row],[Standardabweichung 1]]/Tabelle15638[[#This Row],[Mean Visc. 1 '[mPas']]]</f>
        <v>#NAME?</v>
      </c>
      <c r="AD124" s="7" t="e">
        <f>Tabelle156[[#This Row],[Standardabweichung 2]]/Tabelle156[[#This Row],[Mean Visc. 2 '[mPas']2]]</f>
        <v>#VALUE!</v>
      </c>
      <c r="AE124" s="7" t="e">
        <f>Tabelle156[[#This Row],[Standardabweichung 3]]/Tabelle156[[#This Row],[Mean Visc. 3 '[mPas']3]]</f>
        <v>#VALUE!</v>
      </c>
      <c r="AG124" s="7" t="e">
        <f>1-Tabelle15638[[#This Row],[Mean Visc. 1 '[mPas']]]/#REF!</f>
        <v>#REF!</v>
      </c>
    </row>
    <row r="125" spans="1:33" s="7" customFormat="1" x14ac:dyDescent="0.3">
      <c r="A125">
        <v>124</v>
      </c>
      <c r="B125" s="4"/>
      <c r="C125" s="5"/>
      <c r="D125" s="7">
        <v>5</v>
      </c>
      <c r="E125" t="s">
        <v>189</v>
      </c>
      <c r="F125" t="s">
        <v>175</v>
      </c>
      <c r="G125" t="s">
        <v>186</v>
      </c>
      <c r="H125" s="11"/>
      <c r="I125" s="9"/>
      <c r="J125" s="7">
        <v>24.6</v>
      </c>
      <c r="K125" s="7">
        <v>23</v>
      </c>
      <c r="L125" s="7">
        <v>30.72</v>
      </c>
      <c r="M125" s="7">
        <v>510</v>
      </c>
      <c r="N125" s="7">
        <f>Tabelle15638[[#This Row],[Anzahl Frames]]/Tabelle15638[[#This Row],[Aufnahmezeit '[s']]]</f>
        <v>16.6015625</v>
      </c>
      <c r="O125" s="7">
        <f>1/Tabelle15638[[#This Row],[Mean fps ]]</f>
        <v>6.023529411764706E-2</v>
      </c>
      <c r="P125" s="7">
        <v>40</v>
      </c>
      <c r="Q125" s="3"/>
      <c r="R125" s="11"/>
      <c r="S125" s="7">
        <v>2.62</v>
      </c>
      <c r="T125" s="7">
        <v>1.7</v>
      </c>
      <c r="U125" s="7">
        <v>2.3250000000000002</v>
      </c>
      <c r="Z125" s="7" t="e" cm="1">
        <f t="array" ref="Z125">STABW</f>
        <v>#NAME?</v>
      </c>
      <c r="AC125" s="7" t="e">
        <f>Tabelle15638[[#This Row],[Standardabweichung 1]]/Tabelle15638[[#This Row],[Mean Visc. 1 '[mPas']]]</f>
        <v>#NAME?</v>
      </c>
      <c r="AD125" s="7" t="e">
        <f>Tabelle156[[#This Row],[Standardabweichung 2]]/Tabelle156[[#This Row],[Mean Visc. 2 '[mPas']2]]</f>
        <v>#VALUE!</v>
      </c>
      <c r="AE125" s="7" t="e">
        <f>Tabelle156[[#This Row],[Standardabweichung 3]]/Tabelle156[[#This Row],[Mean Visc. 3 '[mPas']3]]</f>
        <v>#VALUE!</v>
      </c>
      <c r="AG125" s="7" t="e">
        <f>1-Tabelle15638[[#This Row],[Mean Visc. 1 '[mPas']]]/#REF!</f>
        <v>#REF!</v>
      </c>
    </row>
    <row r="126" spans="1:33" s="17" customFormat="1" ht="15" thickBot="1" x14ac:dyDescent="0.35">
      <c r="A126">
        <v>125</v>
      </c>
      <c r="B126" s="15"/>
      <c r="C126" s="16"/>
      <c r="D126" s="7">
        <v>5</v>
      </c>
      <c r="E126" t="s">
        <v>189</v>
      </c>
      <c r="F126" t="s">
        <v>175</v>
      </c>
      <c r="G126" t="s">
        <v>186</v>
      </c>
      <c r="H126" s="11"/>
      <c r="I126" s="9"/>
      <c r="J126" s="17">
        <v>24.7</v>
      </c>
      <c r="K126" s="17">
        <v>22</v>
      </c>
      <c r="L126" s="17">
        <v>31.6</v>
      </c>
      <c r="M126" s="17">
        <v>396</v>
      </c>
      <c r="N126" s="17">
        <f>Tabelle15638[[#This Row],[Anzahl Frames]]/Tabelle15638[[#This Row],[Aufnahmezeit '[s']]]</f>
        <v>12.531645569620252</v>
      </c>
      <c r="O126" s="17">
        <f>1/Tabelle15638[[#This Row],[Mean fps ]]</f>
        <v>7.9797979797979798E-2</v>
      </c>
      <c r="P126" s="17">
        <v>40</v>
      </c>
      <c r="Q126" s="20"/>
      <c r="R126" s="21"/>
      <c r="S126" s="17">
        <v>2.8730000000000002</v>
      </c>
      <c r="T126" s="17">
        <v>2.1349999999999998</v>
      </c>
      <c r="U126" s="17">
        <v>2.714</v>
      </c>
      <c r="Z126" s="17" t="e" cm="1">
        <f t="array" ref="Z126">STABW</f>
        <v>#NAME?</v>
      </c>
      <c r="AC126" s="17" t="e">
        <f>Tabelle15638[[#This Row],[Standardabweichung 1]]/Tabelle15638[[#This Row],[Mean Visc. 1 '[mPas']]]</f>
        <v>#NAME?</v>
      </c>
      <c r="AD126" s="17" t="e">
        <f>Tabelle156[[#This Row],[Standardabweichung 2]]/Tabelle156[[#This Row],[Mean Visc. 2 '[mPas']2]]</f>
        <v>#VALUE!</v>
      </c>
      <c r="AE126" s="17" t="e">
        <f>Tabelle156[[#This Row],[Standardabweichung 3]]/Tabelle156[[#This Row],[Mean Visc. 3 '[mPas']3]]</f>
        <v>#VALUE!</v>
      </c>
      <c r="AG126" s="17" t="e">
        <f>1-Tabelle15638[[#This Row],[Mean Visc. 1 '[mPas']]]/#REF!</f>
        <v>#REF!</v>
      </c>
    </row>
    <row r="127" spans="1:33" s="7" customFormat="1" ht="15" thickTop="1" x14ac:dyDescent="0.3">
      <c r="A127">
        <v>126</v>
      </c>
      <c r="B127" s="4"/>
      <c r="C127" s="5"/>
      <c r="D127" s="7">
        <v>5</v>
      </c>
      <c r="E127" t="s">
        <v>189</v>
      </c>
      <c r="F127" t="s">
        <v>175</v>
      </c>
      <c r="G127" t="s">
        <v>186</v>
      </c>
      <c r="H127" s="11"/>
      <c r="I127" s="9"/>
      <c r="J127" s="7">
        <v>25</v>
      </c>
      <c r="K127" s="7">
        <v>22</v>
      </c>
      <c r="L127" s="7">
        <v>31.44</v>
      </c>
      <c r="M127" s="7">
        <v>393</v>
      </c>
      <c r="N127" s="7">
        <f>Tabelle15638[[#This Row],[Anzahl Frames]]/Tabelle15638[[#This Row],[Aufnahmezeit '[s']]]</f>
        <v>12.5</v>
      </c>
      <c r="O127" s="7">
        <f>1/Tabelle15638[[#This Row],[Mean fps ]]</f>
        <v>0.08</v>
      </c>
      <c r="P127" s="7">
        <v>40</v>
      </c>
      <c r="Q127" s="3"/>
      <c r="R127" s="11"/>
      <c r="S127" s="7">
        <v>2.585</v>
      </c>
      <c r="T127" s="7">
        <v>1.8029999999999999</v>
      </c>
      <c r="U127" s="7">
        <v>2.5459999999999998</v>
      </c>
      <c r="Z127" s="7" t="e" cm="1">
        <f t="array" ref="Z127">STABW</f>
        <v>#NAME?</v>
      </c>
      <c r="AC127" s="7" t="e">
        <f>Tabelle15638[[#This Row],[Standardabweichung 1]]/Tabelle15638[[#This Row],[Mean Visc. 1 '[mPas']]]</f>
        <v>#NAME?</v>
      </c>
      <c r="AD127" s="7" t="e">
        <f>Tabelle156[[#This Row],[Standardabweichung 2]]/Tabelle156[[#This Row],[Mean Visc. 2 '[mPas']2]]</f>
        <v>#VALUE!</v>
      </c>
      <c r="AE127" s="7" t="e">
        <f>Tabelle156[[#This Row],[Standardabweichung 3]]/Tabelle156[[#This Row],[Mean Visc. 3 '[mPas']3]]</f>
        <v>#VALUE!</v>
      </c>
      <c r="AG127" s="7" t="e">
        <f>1-Tabelle15638[[#This Row],[Mean Visc. 1 '[mPas']]]/#REF!</f>
        <v>#REF!</v>
      </c>
    </row>
    <row r="128" spans="1:33" s="7" customFormat="1" x14ac:dyDescent="0.3">
      <c r="A128">
        <v>127</v>
      </c>
      <c r="B128" s="4"/>
      <c r="C128" s="5"/>
      <c r="D128" s="7">
        <v>5</v>
      </c>
      <c r="E128" t="s">
        <v>189</v>
      </c>
      <c r="F128" t="s">
        <v>175</v>
      </c>
      <c r="G128" t="s">
        <v>186</v>
      </c>
      <c r="H128" s="11"/>
      <c r="I128" s="9"/>
      <c r="J128" s="7">
        <v>25</v>
      </c>
      <c r="K128" s="7">
        <v>22</v>
      </c>
      <c r="L128" s="7">
        <v>30.72</v>
      </c>
      <c r="M128" s="7">
        <v>384</v>
      </c>
      <c r="N128" s="7">
        <f>Tabelle15638[[#This Row],[Anzahl Frames]]/Tabelle15638[[#This Row],[Aufnahmezeit '[s']]]</f>
        <v>12.5</v>
      </c>
      <c r="O128" s="7">
        <f>1/Tabelle15638[[#This Row],[Mean fps ]]</f>
        <v>0.08</v>
      </c>
      <c r="P128" s="7">
        <v>40</v>
      </c>
      <c r="Q128" s="3"/>
      <c r="R128" s="11"/>
      <c r="S128" s="7">
        <v>3.024</v>
      </c>
      <c r="T128" s="7">
        <v>1.881</v>
      </c>
      <c r="U128" s="7">
        <v>2.4769999999999999</v>
      </c>
      <c r="Z128" s="7" t="e" cm="1">
        <f t="array" ref="Z128">STABW</f>
        <v>#NAME?</v>
      </c>
      <c r="AC128" s="7" t="e">
        <f>Tabelle15638[[#This Row],[Standardabweichung 1]]/Tabelle15638[[#This Row],[Mean Visc. 1 '[mPas']]]</f>
        <v>#NAME?</v>
      </c>
      <c r="AD128" s="7" t="e">
        <f>Tabelle156[[#This Row],[Standardabweichung 2]]/Tabelle156[[#This Row],[Mean Visc. 2 '[mPas']2]]</f>
        <v>#VALUE!</v>
      </c>
      <c r="AE128" s="7" t="e">
        <f>Tabelle156[[#This Row],[Standardabweichung 3]]/Tabelle156[[#This Row],[Mean Visc. 3 '[mPas']3]]</f>
        <v>#VALUE!</v>
      </c>
      <c r="AG128" s="7" t="e">
        <f>1-Tabelle15638[[#This Row],[Mean Visc. 1 '[mPas']]]/#REF!</f>
        <v>#REF!</v>
      </c>
    </row>
    <row r="129" spans="1:35" s="7" customFormat="1" x14ac:dyDescent="0.3">
      <c r="A129">
        <v>128</v>
      </c>
      <c r="B129" s="4"/>
      <c r="C129" s="5"/>
      <c r="D129" s="7">
        <v>5</v>
      </c>
      <c r="E129" t="s">
        <v>189</v>
      </c>
      <c r="F129" t="s">
        <v>175</v>
      </c>
      <c r="G129" t="s">
        <v>186</v>
      </c>
      <c r="H129" s="11"/>
      <c r="I129" s="9"/>
      <c r="J129" s="7">
        <v>25</v>
      </c>
      <c r="K129" s="7">
        <v>22</v>
      </c>
      <c r="L129" s="7">
        <v>32.96</v>
      </c>
      <c r="M129" s="7">
        <v>412</v>
      </c>
      <c r="N129" s="7">
        <f>Tabelle15638[[#This Row],[Anzahl Frames]]/Tabelle15638[[#This Row],[Aufnahmezeit '[s']]]</f>
        <v>12.5</v>
      </c>
      <c r="O129" s="7">
        <f>1/Tabelle15638[[#This Row],[Mean fps ]]</f>
        <v>0.08</v>
      </c>
      <c r="P129" s="7">
        <v>40</v>
      </c>
      <c r="Q129" s="3"/>
      <c r="R129" s="11"/>
      <c r="S129" s="7">
        <v>2.6240000000000001</v>
      </c>
      <c r="T129" s="7">
        <v>1.7969999999999999</v>
      </c>
      <c r="U129" s="7">
        <v>2.6389999999999998</v>
      </c>
      <c r="Z129" s="7" t="e" cm="1">
        <f t="array" ref="Z129">STABW</f>
        <v>#NAME?</v>
      </c>
      <c r="AC129" s="7" t="e">
        <f>Tabelle15638[[#This Row],[Standardabweichung 1]]/Tabelle15638[[#This Row],[Mean Visc. 1 '[mPas']]]</f>
        <v>#NAME?</v>
      </c>
      <c r="AD129" s="7" t="e">
        <f>Tabelle156[[#This Row],[Standardabweichung 2]]/Tabelle156[[#This Row],[Mean Visc. 2 '[mPas']2]]</f>
        <v>#VALUE!</v>
      </c>
      <c r="AE129" s="7" t="e">
        <f>Tabelle156[[#This Row],[Standardabweichung 3]]/Tabelle156[[#This Row],[Mean Visc. 3 '[mPas']3]]</f>
        <v>#VALUE!</v>
      </c>
      <c r="AG129" s="7" t="e">
        <f>1-Tabelle15638[[#This Row],[Mean Visc. 1 '[mPas']]]/#REF!</f>
        <v>#REF!</v>
      </c>
    </row>
    <row r="130" spans="1:35" s="7" customFormat="1" x14ac:dyDescent="0.3">
      <c r="A130">
        <v>129</v>
      </c>
      <c r="B130" s="4"/>
      <c r="C130" s="5"/>
      <c r="D130" s="7">
        <v>5</v>
      </c>
      <c r="E130" t="s">
        <v>189</v>
      </c>
      <c r="F130" t="s">
        <v>175</v>
      </c>
      <c r="G130" t="s">
        <v>186</v>
      </c>
      <c r="H130" s="11"/>
      <c r="I130" s="9"/>
      <c r="J130" s="7">
        <v>25.1</v>
      </c>
      <c r="K130" s="7">
        <v>19</v>
      </c>
      <c r="L130" s="7">
        <v>33.6</v>
      </c>
      <c r="M130" s="7">
        <v>421</v>
      </c>
      <c r="N130" s="7">
        <f>Tabelle15638[[#This Row],[Anzahl Frames]]/Tabelle15638[[#This Row],[Aufnahmezeit '[s']]]</f>
        <v>12.529761904761905</v>
      </c>
      <c r="O130" s="7">
        <f>1/Tabelle15638[[#This Row],[Mean fps ]]</f>
        <v>7.9809976247030873E-2</v>
      </c>
      <c r="P130" s="7">
        <v>40</v>
      </c>
      <c r="Q130" s="3"/>
      <c r="R130" s="11"/>
      <c r="S130" s="7">
        <v>3.2709999999999999</v>
      </c>
      <c r="T130" s="7">
        <v>2.218</v>
      </c>
      <c r="U130" s="7">
        <v>2.3530000000000002</v>
      </c>
      <c r="Z130" s="7" t="e" cm="1">
        <f t="array" ref="Z130">STABW</f>
        <v>#NAME?</v>
      </c>
      <c r="AC130" s="7" t="e">
        <f>Tabelle15638[[#This Row],[Standardabweichung 1]]/Tabelle15638[[#This Row],[Mean Visc. 1 '[mPas']]]</f>
        <v>#NAME?</v>
      </c>
      <c r="AD130" s="7" t="e">
        <f>Tabelle156[[#This Row],[Standardabweichung 2]]/Tabelle156[[#This Row],[Mean Visc. 2 '[mPas']2]]</f>
        <v>#VALUE!</v>
      </c>
      <c r="AE130" s="7" t="e">
        <f>Tabelle156[[#This Row],[Standardabweichung 3]]/Tabelle156[[#This Row],[Mean Visc. 3 '[mPas']3]]</f>
        <v>#VALUE!</v>
      </c>
      <c r="AG130" s="7" t="e">
        <f>1-Tabelle15638[[#This Row],[Mean Visc. 1 '[mPas']]]/#REF!</f>
        <v>#REF!</v>
      </c>
    </row>
    <row r="131" spans="1:35" s="17" customFormat="1" ht="15" thickBot="1" x14ac:dyDescent="0.35">
      <c r="A131">
        <v>130</v>
      </c>
      <c r="B131" s="15"/>
      <c r="C131" s="16"/>
      <c r="D131" s="7">
        <v>5</v>
      </c>
      <c r="E131" t="s">
        <v>189</v>
      </c>
      <c r="F131" t="s">
        <v>175</v>
      </c>
      <c r="G131" t="s">
        <v>186</v>
      </c>
      <c r="H131" s="21"/>
      <c r="I131" s="19"/>
      <c r="J131" s="17">
        <v>25.1</v>
      </c>
      <c r="K131" s="17">
        <v>19</v>
      </c>
      <c r="L131" s="17">
        <v>30.32</v>
      </c>
      <c r="M131" s="17">
        <v>380</v>
      </c>
      <c r="N131" s="17">
        <f>Tabelle15638[[#This Row],[Anzahl Frames]]/Tabelle15638[[#This Row],[Aufnahmezeit '[s']]]</f>
        <v>12.532981530343008</v>
      </c>
      <c r="O131" s="17">
        <f>1/Tabelle15638[[#This Row],[Mean fps ]]</f>
        <v>7.9789473684210521E-2</v>
      </c>
      <c r="P131" s="17">
        <v>40</v>
      </c>
      <c r="Q131" s="20"/>
      <c r="R131" s="21"/>
      <c r="S131" s="17">
        <v>2.3759999999999999</v>
      </c>
      <c r="T131" s="17">
        <v>1.806</v>
      </c>
      <c r="U131" s="17">
        <v>2.4039999999999999</v>
      </c>
      <c r="W131" s="7">
        <f>SUM(S122:S131)/10</f>
        <v>2.7410000000000005</v>
      </c>
      <c r="X131" s="7">
        <f>SUM(T122:T131)/10</f>
        <v>1.9482000000000004</v>
      </c>
      <c r="Y131" s="7">
        <f t="shared" ref="Y131" si="25">SUM(U122:U131)/10</f>
        <v>2.5270000000000001</v>
      </c>
      <c r="Z131" s="17">
        <f>_xlfn.STDEV.S(S122:S131)</f>
        <v>0.28638319317539102</v>
      </c>
      <c r="AA131" s="17">
        <f t="shared" ref="AA131" si="26">_xlfn.STDEV.S(T122:T131)</f>
        <v>0.20418227151248952</v>
      </c>
      <c r="AB131" s="17">
        <f>_xlfn.STDEV.S(U122:U131)</f>
        <v>0.13684378766397182</v>
      </c>
      <c r="AC131" s="17">
        <f>Tabelle15638[[#This Row],[Standardabweichung 1]]/Tabelle15638[[#This Row],[Mean Visc. 1 '[mPas']]]</f>
        <v>0.10448128171302115</v>
      </c>
      <c r="AD131" s="17">
        <f>Tabelle15638[[#This Row],[Standardabweichung 2]]/Tabelle15638[[#This Row],[Mean Visc. 2 '[mPas']2]]</f>
        <v>0.10480560081741581</v>
      </c>
      <c r="AE131" s="17">
        <f>Tabelle15638[[#This Row],[Standardabweichung 3]]/Tabelle15638[[#This Row],[Mean Visc. 3 '[mPas']3]]</f>
        <v>5.4152666269874083E-2</v>
      </c>
      <c r="AG131" s="17" t="e">
        <f>1-Tabelle15638[[#This Row],[Mean Visc. 1 '[mPas']]]/#REF!</f>
        <v>#REF!</v>
      </c>
    </row>
    <row r="132" spans="1:35" s="7" customFormat="1" ht="15" thickTop="1" x14ac:dyDescent="0.3">
      <c r="A132">
        <v>131</v>
      </c>
      <c r="B132" s="4"/>
      <c r="C132" s="5"/>
      <c r="D132" s="7">
        <v>5</v>
      </c>
      <c r="E132" t="s">
        <v>189</v>
      </c>
      <c r="F132" t="s">
        <v>175</v>
      </c>
      <c r="G132" t="s">
        <v>187</v>
      </c>
      <c r="H132" s="11"/>
      <c r="I132" s="9"/>
      <c r="J132" s="7">
        <v>25.2</v>
      </c>
      <c r="K132" s="7">
        <v>19</v>
      </c>
      <c r="L132" s="7">
        <v>30.32</v>
      </c>
      <c r="M132" s="7">
        <v>379</v>
      </c>
      <c r="N132" s="7">
        <f>Tabelle15638[[#This Row],[Anzahl Frames]]/Tabelle15638[[#This Row],[Aufnahmezeit '[s']]]</f>
        <v>12.5</v>
      </c>
      <c r="O132" s="7">
        <f>1/Tabelle15638[[#This Row],[Mean fps ]]</f>
        <v>0.08</v>
      </c>
      <c r="P132" s="7">
        <v>40</v>
      </c>
      <c r="Q132" s="3"/>
      <c r="R132" s="11"/>
      <c r="S132" s="7">
        <v>2.83</v>
      </c>
      <c r="T132" s="7">
        <v>2.3540000000000001</v>
      </c>
      <c r="U132" s="7">
        <v>2.7440000000000002</v>
      </c>
      <c r="Z132" s="7" t="e" cm="1">
        <f t="array" ref="Z132">STABW</f>
        <v>#NAME?</v>
      </c>
      <c r="AC132" s="7" t="e">
        <f>Tabelle15638[[#This Row],[Standardabweichung 1]]/Tabelle15638[[#This Row],[Mean Visc. 1 '[mPas']]]</f>
        <v>#NAME?</v>
      </c>
      <c r="AD132" s="7" t="e">
        <f>Tabelle156[[#This Row],[Standardabweichung 2]]/Tabelle156[[#This Row],[Mean Visc. 2 '[mPas']2]]</f>
        <v>#VALUE!</v>
      </c>
      <c r="AE132" s="7" t="e">
        <f>Tabelle156[[#This Row],[Standardabweichung 3]]/Tabelle156[[#This Row],[Mean Visc. 3 '[mPas']3]]</f>
        <v>#VALUE!</v>
      </c>
      <c r="AG132" s="7" t="e">
        <f>1-Tabelle15638[[#This Row],[Mean Visc. 1 '[mPas']]]/#REF!</f>
        <v>#REF!</v>
      </c>
    </row>
    <row r="133" spans="1:35" s="7" customFormat="1" x14ac:dyDescent="0.3">
      <c r="A133">
        <v>132</v>
      </c>
      <c r="B133" s="4"/>
      <c r="C133" s="5"/>
      <c r="D133" s="7">
        <v>5</v>
      </c>
      <c r="E133" t="s">
        <v>189</v>
      </c>
      <c r="F133" t="s">
        <v>175</v>
      </c>
      <c r="G133" t="s">
        <v>187</v>
      </c>
      <c r="H133" s="11"/>
      <c r="I133" s="9"/>
      <c r="J133" s="7">
        <v>25.3</v>
      </c>
      <c r="K133" s="7">
        <v>19</v>
      </c>
      <c r="L133" s="7">
        <v>31.43</v>
      </c>
      <c r="M133" s="7">
        <v>393</v>
      </c>
      <c r="N133" s="7">
        <f>Tabelle15638[[#This Row],[Anzahl Frames]]/Tabelle15638[[#This Row],[Aufnahmezeit '[s']]]</f>
        <v>12.503977091950366</v>
      </c>
      <c r="O133" s="7">
        <f>1/Tabelle15638[[#This Row],[Mean fps ]]</f>
        <v>7.9974554707379131E-2</v>
      </c>
      <c r="P133" s="7">
        <v>40</v>
      </c>
      <c r="Q133" s="3"/>
      <c r="R133" s="11"/>
      <c r="S133" s="7">
        <v>3.2650000000000001</v>
      </c>
      <c r="T133" s="7">
        <v>2.383</v>
      </c>
      <c r="U133" s="7">
        <v>3.339</v>
      </c>
      <c r="Z133" s="7" t="e" cm="1">
        <f t="array" ref="Z133">STABW</f>
        <v>#NAME?</v>
      </c>
      <c r="AC133" s="7" t="e">
        <f>Tabelle15638[[#This Row],[Standardabweichung 1]]/Tabelle15638[[#This Row],[Mean Visc. 1 '[mPas']]]</f>
        <v>#NAME?</v>
      </c>
      <c r="AD133" s="7" t="e">
        <f>Tabelle156[[#This Row],[Standardabweichung 2]]/Tabelle156[[#This Row],[Mean Visc. 2 '[mPas']2]]</f>
        <v>#VALUE!</v>
      </c>
      <c r="AE133" s="7" t="e">
        <f>Tabelle156[[#This Row],[Standardabweichung 3]]/Tabelle156[[#This Row],[Mean Visc. 3 '[mPas']3]]</f>
        <v>#VALUE!</v>
      </c>
      <c r="AG133" s="7" t="e">
        <f>1-Tabelle15638[[#This Row],[Mean Visc. 1 '[mPas']]]/#REF!</f>
        <v>#REF!</v>
      </c>
    </row>
    <row r="134" spans="1:35" s="7" customFormat="1" x14ac:dyDescent="0.3">
      <c r="A134">
        <v>133</v>
      </c>
      <c r="B134" s="4"/>
      <c r="C134" s="5"/>
      <c r="D134" s="7">
        <v>5</v>
      </c>
      <c r="E134" t="s">
        <v>189</v>
      </c>
      <c r="F134" t="s">
        <v>175</v>
      </c>
      <c r="G134" t="s">
        <v>187</v>
      </c>
      <c r="H134" s="11"/>
      <c r="I134" s="9"/>
      <c r="J134" s="7">
        <v>25.3</v>
      </c>
      <c r="K134" s="7">
        <v>19</v>
      </c>
      <c r="L134" s="7">
        <v>32.32</v>
      </c>
      <c r="M134" s="7">
        <v>404</v>
      </c>
      <c r="N134" s="7">
        <f>Tabelle15638[[#This Row],[Anzahl Frames]]/Tabelle15638[[#This Row],[Aufnahmezeit '[s']]]</f>
        <v>12.5</v>
      </c>
      <c r="O134" s="7">
        <f>1/Tabelle15638[[#This Row],[Mean fps ]]</f>
        <v>0.08</v>
      </c>
      <c r="P134" s="7">
        <v>40</v>
      </c>
      <c r="Q134" s="3"/>
      <c r="R134" s="11"/>
      <c r="S134" s="7">
        <v>2.9260000000000002</v>
      </c>
      <c r="T134" s="7">
        <v>2.145</v>
      </c>
      <c r="U134" s="7">
        <v>3.0720000000000001</v>
      </c>
      <c r="Z134" s="7" t="e" cm="1">
        <f t="array" ref="Z134">STABW</f>
        <v>#NAME?</v>
      </c>
      <c r="AC134" s="7" t="e">
        <f>Tabelle15638[[#This Row],[Standardabweichung 1]]/Tabelle15638[[#This Row],[Mean Visc. 1 '[mPas']]]</f>
        <v>#NAME?</v>
      </c>
      <c r="AD134" s="7" t="e">
        <f>Tabelle156[[#This Row],[Standardabweichung 2]]/Tabelle156[[#This Row],[Mean Visc. 2 '[mPas']2]]</f>
        <v>#VALUE!</v>
      </c>
      <c r="AE134" s="7" t="e">
        <f>Tabelle156[[#This Row],[Standardabweichung 3]]/Tabelle156[[#This Row],[Mean Visc. 3 '[mPas']3]]</f>
        <v>#VALUE!</v>
      </c>
      <c r="AG134" s="7" t="e">
        <f>1-Tabelle15638[[#This Row],[Mean Visc. 1 '[mPas']]]/#REF!</f>
        <v>#REF!</v>
      </c>
    </row>
    <row r="135" spans="1:35" s="7" customFormat="1" x14ac:dyDescent="0.3">
      <c r="A135">
        <v>134</v>
      </c>
      <c r="B135" s="4"/>
      <c r="C135" s="5"/>
      <c r="D135" s="7">
        <v>5</v>
      </c>
      <c r="E135" t="s">
        <v>189</v>
      </c>
      <c r="F135" t="s">
        <v>175</v>
      </c>
      <c r="G135" t="s">
        <v>187</v>
      </c>
      <c r="H135" s="11"/>
      <c r="I135" s="9"/>
      <c r="J135" s="7">
        <v>25.3</v>
      </c>
      <c r="K135" s="7">
        <v>19</v>
      </c>
      <c r="L135" s="7">
        <v>32.72</v>
      </c>
      <c r="M135" s="7">
        <v>409</v>
      </c>
      <c r="N135" s="7">
        <f>Tabelle15638[[#This Row],[Anzahl Frames]]/Tabelle15638[[#This Row],[Aufnahmezeit '[s']]]</f>
        <v>12.5</v>
      </c>
      <c r="O135" s="7">
        <f>1/Tabelle15638[[#This Row],[Mean fps ]]</f>
        <v>0.08</v>
      </c>
      <c r="P135" s="7">
        <v>40</v>
      </c>
      <c r="Q135" s="3"/>
      <c r="R135" s="11"/>
      <c r="S135" s="7">
        <v>2.911</v>
      </c>
      <c r="T135" s="7">
        <v>2.15</v>
      </c>
      <c r="U135" s="7">
        <v>3.1139999999999999</v>
      </c>
      <c r="Z135" s="7" t="e" cm="1">
        <f t="array" ref="Z135">STABW</f>
        <v>#NAME?</v>
      </c>
      <c r="AC135" s="7" t="e">
        <f>Tabelle15638[[#This Row],[Standardabweichung 1]]/Tabelle15638[[#This Row],[Mean Visc. 1 '[mPas']]]</f>
        <v>#NAME?</v>
      </c>
      <c r="AD135" s="7" t="e">
        <f>Tabelle156[[#This Row],[Standardabweichung 2]]/Tabelle156[[#This Row],[Mean Visc. 2 '[mPas']2]]</f>
        <v>#VALUE!</v>
      </c>
      <c r="AE135" s="7" t="e">
        <f>Tabelle156[[#This Row],[Standardabweichung 3]]/Tabelle156[[#This Row],[Mean Visc. 3 '[mPas']3]]</f>
        <v>#VALUE!</v>
      </c>
      <c r="AG135" s="7" t="e">
        <f>1-Tabelle15638[[#This Row],[Mean Visc. 1 '[mPas']]]/#REF!</f>
        <v>#REF!</v>
      </c>
    </row>
    <row r="136" spans="1:35" s="17" customFormat="1" ht="15" thickBot="1" x14ac:dyDescent="0.35">
      <c r="A136">
        <v>135</v>
      </c>
      <c r="B136" s="15"/>
      <c r="C136" s="16"/>
      <c r="D136" s="7">
        <v>5</v>
      </c>
      <c r="E136" t="s">
        <v>189</v>
      </c>
      <c r="F136" t="s">
        <v>175</v>
      </c>
      <c r="G136" t="s">
        <v>187</v>
      </c>
      <c r="H136" s="21"/>
      <c r="I136" s="19"/>
      <c r="J136" s="17">
        <v>25.3</v>
      </c>
      <c r="K136" s="17">
        <v>19</v>
      </c>
      <c r="L136" s="17">
        <v>30.56</v>
      </c>
      <c r="M136" s="17">
        <v>382</v>
      </c>
      <c r="N136" s="17">
        <f>Tabelle15638[[#This Row],[Anzahl Frames]]/Tabelle15638[[#This Row],[Aufnahmezeit '[s']]]</f>
        <v>12.5</v>
      </c>
      <c r="O136" s="17">
        <f>1/Tabelle15638[[#This Row],[Mean fps ]]</f>
        <v>0.08</v>
      </c>
      <c r="P136" s="17">
        <v>40</v>
      </c>
      <c r="Q136" s="20"/>
      <c r="R136" s="21"/>
      <c r="S136" s="17">
        <v>3.03</v>
      </c>
      <c r="T136" s="17">
        <v>2.4319999999999999</v>
      </c>
      <c r="U136" s="17">
        <v>3.0190000000000001</v>
      </c>
      <c r="Z136" s="17" t="e" cm="1">
        <f t="array" ref="Z136">STABW</f>
        <v>#NAME?</v>
      </c>
      <c r="AC136" s="17" t="e">
        <f>Tabelle15638[[#This Row],[Standardabweichung 1]]/Tabelle15638[[#This Row],[Mean Visc. 1 '[mPas']]]</f>
        <v>#NAME?</v>
      </c>
      <c r="AD136" s="17" t="e">
        <f>Tabelle156[[#This Row],[Standardabweichung 2]]/Tabelle156[[#This Row],[Mean Visc. 2 '[mPas']2]]</f>
        <v>#VALUE!</v>
      </c>
      <c r="AE136" s="17" t="e">
        <f>Tabelle156[[#This Row],[Standardabweichung 3]]/Tabelle156[[#This Row],[Mean Visc. 3 '[mPas']3]]</f>
        <v>#VALUE!</v>
      </c>
      <c r="AG136" s="17" t="e">
        <f>1-Tabelle15638[[#This Row],[Mean Visc. 1 '[mPas']]]/#REF!</f>
        <v>#REF!</v>
      </c>
    </row>
    <row r="137" spans="1:35" s="7" customFormat="1" ht="15" thickTop="1" x14ac:dyDescent="0.3">
      <c r="A137">
        <v>136</v>
      </c>
      <c r="B137" s="4"/>
      <c r="C137" s="5"/>
      <c r="D137" s="7">
        <v>5</v>
      </c>
      <c r="E137" t="s">
        <v>189</v>
      </c>
      <c r="F137" t="s">
        <v>175</v>
      </c>
      <c r="G137" t="s">
        <v>187</v>
      </c>
      <c r="H137" s="11"/>
      <c r="I137" s="9"/>
      <c r="J137" s="7">
        <v>25.4</v>
      </c>
      <c r="K137" s="7">
        <v>16</v>
      </c>
      <c r="L137" s="7">
        <v>32.64</v>
      </c>
      <c r="M137" s="7">
        <v>409</v>
      </c>
      <c r="N137" s="7">
        <f>Tabelle15638[[#This Row],[Anzahl Frames]]/Tabelle15638[[#This Row],[Aufnahmezeit '[s']]]</f>
        <v>12.530637254901961</v>
      </c>
      <c r="O137" s="7">
        <f>1/Tabelle15638[[#This Row],[Mean fps ]]</f>
        <v>7.9804400977995113E-2</v>
      </c>
      <c r="P137" s="7">
        <v>40</v>
      </c>
      <c r="Q137" s="3"/>
      <c r="R137" s="11"/>
      <c r="S137" s="7">
        <v>2.891</v>
      </c>
      <c r="T137" s="7">
        <v>2.31</v>
      </c>
      <c r="U137" s="7">
        <v>2.9249999999999998</v>
      </c>
      <c r="Z137" s="7" t="e" cm="1">
        <f t="array" ref="Z137">STABW</f>
        <v>#NAME?</v>
      </c>
      <c r="AC137" s="7" t="e">
        <f>Tabelle15638[[#This Row],[Standardabweichung 1]]/Tabelle15638[[#This Row],[Mean Visc. 1 '[mPas']]]</f>
        <v>#NAME?</v>
      </c>
      <c r="AD137" s="7" t="e">
        <f>Tabelle156[[#This Row],[Standardabweichung 2]]/Tabelle156[[#This Row],[Mean Visc. 2 '[mPas']2]]</f>
        <v>#VALUE!</v>
      </c>
      <c r="AE137" s="7" t="e">
        <f>Tabelle156[[#This Row],[Standardabweichung 3]]/Tabelle156[[#This Row],[Mean Visc. 3 '[mPas']3]]</f>
        <v>#VALUE!</v>
      </c>
      <c r="AG137" s="7" t="e">
        <f>1-Tabelle15638[[#This Row],[Mean Visc. 1 '[mPas']]]/#REF!</f>
        <v>#REF!</v>
      </c>
    </row>
    <row r="138" spans="1:35" s="7" customFormat="1" x14ac:dyDescent="0.3">
      <c r="A138">
        <v>137</v>
      </c>
      <c r="B138" s="4"/>
      <c r="C138" s="5"/>
      <c r="D138" s="7">
        <v>5</v>
      </c>
      <c r="E138" t="s">
        <v>189</v>
      </c>
      <c r="F138" t="s">
        <v>175</v>
      </c>
      <c r="G138" t="s">
        <v>187</v>
      </c>
      <c r="H138" s="11"/>
      <c r="I138" s="9"/>
      <c r="J138" s="7">
        <v>25.4</v>
      </c>
      <c r="K138" s="7">
        <v>16</v>
      </c>
      <c r="L138" s="7">
        <v>30.88</v>
      </c>
      <c r="M138" s="7">
        <v>386</v>
      </c>
      <c r="N138" s="7">
        <f>Tabelle15638[[#This Row],[Anzahl Frames]]/Tabelle15638[[#This Row],[Aufnahmezeit '[s']]]</f>
        <v>12.5</v>
      </c>
      <c r="O138" s="7">
        <f>1/Tabelle15638[[#This Row],[Mean fps ]]</f>
        <v>0.08</v>
      </c>
      <c r="P138" s="7">
        <v>40</v>
      </c>
      <c r="Q138" s="3"/>
      <c r="R138" s="11"/>
      <c r="S138" s="7">
        <v>3.403</v>
      </c>
      <c r="T138" s="7">
        <v>2.5830000000000002</v>
      </c>
      <c r="U138" s="7">
        <v>2.9089999999999998</v>
      </c>
      <c r="Z138" s="7" t="e" cm="1">
        <f t="array" ref="Z138">STABW</f>
        <v>#NAME?</v>
      </c>
      <c r="AC138" s="7" t="e">
        <f>Tabelle15638[[#This Row],[Standardabweichung 1]]/Tabelle15638[[#This Row],[Mean Visc. 1 '[mPas']]]</f>
        <v>#NAME?</v>
      </c>
      <c r="AD138" s="7" t="e">
        <f>Tabelle156[[#This Row],[Standardabweichung 2]]/Tabelle156[[#This Row],[Mean Visc. 2 '[mPas']2]]</f>
        <v>#VALUE!</v>
      </c>
      <c r="AE138" s="7" t="e">
        <f>Tabelle156[[#This Row],[Standardabweichung 3]]/Tabelle156[[#This Row],[Mean Visc. 3 '[mPas']3]]</f>
        <v>#VALUE!</v>
      </c>
      <c r="AG138" s="7" t="e">
        <f>1-Tabelle15638[[#This Row],[Mean Visc. 1 '[mPas']]]/#REF!</f>
        <v>#REF!</v>
      </c>
    </row>
    <row r="139" spans="1:35" x14ac:dyDescent="0.3">
      <c r="A139">
        <v>138</v>
      </c>
      <c r="B139" s="4"/>
      <c r="C139" s="5"/>
      <c r="D139" s="7">
        <v>5</v>
      </c>
      <c r="E139" t="s">
        <v>189</v>
      </c>
      <c r="F139" t="s">
        <v>175</v>
      </c>
      <c r="G139" t="s">
        <v>187</v>
      </c>
      <c r="J139" s="7">
        <v>25.4</v>
      </c>
      <c r="K139" s="7">
        <v>16</v>
      </c>
      <c r="L139" s="7">
        <v>33.61</v>
      </c>
      <c r="M139" s="7">
        <v>420</v>
      </c>
      <c r="N139" s="7">
        <f>Tabelle15638[[#This Row],[Anzahl Frames]]/Tabelle15638[[#This Row],[Aufnahmezeit '[s']]]</f>
        <v>12.496280868789052</v>
      </c>
      <c r="O139" s="7">
        <f>1/Tabelle15638[[#This Row],[Mean fps ]]</f>
        <v>8.0023809523809511E-2</v>
      </c>
      <c r="P139" s="7">
        <v>40</v>
      </c>
      <c r="S139" s="7">
        <v>2.91</v>
      </c>
      <c r="T139" s="7">
        <v>2.1309999999999998</v>
      </c>
      <c r="U139" s="7">
        <v>3.0070000000000001</v>
      </c>
      <c r="V139" s="7"/>
      <c r="W139" s="7"/>
      <c r="X139" s="7"/>
      <c r="Y139" s="7"/>
      <c r="Z139" s="7" t="e" cm="1">
        <f t="array" ref="Z139">STABW</f>
        <v>#NAME?</v>
      </c>
      <c r="AA139" s="7"/>
      <c r="AB139" s="7"/>
      <c r="AC139" s="7" t="e">
        <f>Tabelle15638[[#This Row],[Standardabweichung 1]]/Tabelle15638[[#This Row],[Mean Visc. 1 '[mPas']]]</f>
        <v>#NAME?</v>
      </c>
      <c r="AD139" s="7" t="e">
        <f>Tabelle156[[#This Row],[Standardabweichung 2]]/Tabelle156[[#This Row],[Mean Visc. 2 '[mPas']2]]</f>
        <v>#VALUE!</v>
      </c>
      <c r="AE139" s="7" t="e">
        <f>Tabelle156[[#This Row],[Standardabweichung 3]]/Tabelle156[[#This Row],[Mean Visc. 3 '[mPas']3]]</f>
        <v>#VALUE!</v>
      </c>
      <c r="AF139" s="7"/>
      <c r="AG139" s="7" t="e">
        <f>1-Tabelle15638[[#This Row],[Mean Visc. 1 '[mPas']]]/#REF!</f>
        <v>#REF!</v>
      </c>
      <c r="AH139" s="7"/>
      <c r="AI139" s="7"/>
    </row>
    <row r="140" spans="1:35" x14ac:dyDescent="0.3">
      <c r="A140">
        <v>139</v>
      </c>
      <c r="B140" s="4"/>
      <c r="C140" s="5"/>
      <c r="D140" s="7">
        <v>5</v>
      </c>
      <c r="E140" t="s">
        <v>189</v>
      </c>
      <c r="F140" t="s">
        <v>175</v>
      </c>
      <c r="G140" t="s">
        <v>187</v>
      </c>
      <c r="J140" s="7">
        <v>25.4</v>
      </c>
      <c r="K140" s="7">
        <v>16</v>
      </c>
      <c r="L140" s="7">
        <v>35.049999999999997</v>
      </c>
      <c r="M140" s="7">
        <v>438</v>
      </c>
      <c r="N140" s="7">
        <f>Tabelle15638[[#This Row],[Anzahl Frames]]/Tabelle15638[[#This Row],[Aufnahmezeit '[s']]]</f>
        <v>12.496433666191157</v>
      </c>
      <c r="O140" s="7">
        <f>1/Tabelle15638[[#This Row],[Mean fps ]]</f>
        <v>8.0022831050228296E-2</v>
      </c>
      <c r="P140" s="7">
        <v>40</v>
      </c>
      <c r="S140" s="7">
        <v>3.65</v>
      </c>
      <c r="T140" s="7">
        <v>2.4649999999999999</v>
      </c>
      <c r="U140" s="7">
        <v>3.2730000000000001</v>
      </c>
      <c r="V140" s="7"/>
      <c r="W140" s="7"/>
      <c r="X140" s="7"/>
      <c r="Y140" s="7"/>
      <c r="Z140" s="7" t="e" cm="1">
        <f t="array" ref="Z140">STABW</f>
        <v>#NAME?</v>
      </c>
      <c r="AA140" s="7"/>
      <c r="AB140" s="7"/>
      <c r="AC140" s="7" t="e">
        <f>Tabelle15638[[#This Row],[Standardabweichung 1]]/Tabelle15638[[#This Row],[Mean Visc. 1 '[mPas']]]</f>
        <v>#NAME?</v>
      </c>
      <c r="AD140" s="7" t="e">
        <f>Tabelle156[[#This Row],[Standardabweichung 2]]/Tabelle156[[#This Row],[Mean Visc. 2 '[mPas']2]]</f>
        <v>#VALUE!</v>
      </c>
      <c r="AE140" s="7" t="e">
        <f>Tabelle156[[#This Row],[Standardabweichung 3]]/Tabelle156[[#This Row],[Mean Visc. 3 '[mPas']3]]</f>
        <v>#VALUE!</v>
      </c>
      <c r="AF140" s="7"/>
      <c r="AG140" s="7" t="e">
        <f>1-Tabelle15638[[#This Row],[Mean Visc. 1 '[mPas']]]/#REF!</f>
        <v>#REF!</v>
      </c>
      <c r="AH140" s="7"/>
      <c r="AI140" s="7"/>
    </row>
    <row r="141" spans="1:35" s="14" customFormat="1" ht="15" thickBot="1" x14ac:dyDescent="0.35">
      <c r="A141">
        <v>140</v>
      </c>
      <c r="B141" s="15"/>
      <c r="C141" s="16"/>
      <c r="D141" s="7">
        <v>5</v>
      </c>
      <c r="E141" t="s">
        <v>189</v>
      </c>
      <c r="F141" t="s">
        <v>175</v>
      </c>
      <c r="G141" t="s">
        <v>187</v>
      </c>
      <c r="H141" s="21"/>
      <c r="I141" s="19"/>
      <c r="J141" s="17">
        <v>25.4</v>
      </c>
      <c r="K141" s="17">
        <v>16</v>
      </c>
      <c r="L141" s="17">
        <v>31.68</v>
      </c>
      <c r="M141" s="17">
        <v>397</v>
      </c>
      <c r="N141" s="17">
        <f>Tabelle15638[[#This Row],[Anzahl Frames]]/Tabelle15638[[#This Row],[Aufnahmezeit '[s']]]</f>
        <v>12.531565656565657</v>
      </c>
      <c r="O141" s="17">
        <f>1/Tabelle15638[[#This Row],[Mean fps ]]</f>
        <v>7.9798488664987399E-2</v>
      </c>
      <c r="P141" s="17">
        <v>40</v>
      </c>
      <c r="Q141" s="20"/>
      <c r="R141" s="21"/>
      <c r="S141" s="17">
        <v>3.3540000000000001</v>
      </c>
      <c r="T141" s="17">
        <v>2.6179999999999999</v>
      </c>
      <c r="U141" s="17">
        <v>3.7349999999999999</v>
      </c>
      <c r="V141" s="17"/>
      <c r="W141" s="7">
        <f>SUM(S132:S141)/10</f>
        <v>3.117</v>
      </c>
      <c r="X141" s="7">
        <f>SUM(T132:T141)/10</f>
        <v>2.3571</v>
      </c>
      <c r="Y141" s="7">
        <f t="shared" ref="Y141" si="27">SUM(U132:U141)/10</f>
        <v>3.1137000000000001</v>
      </c>
      <c r="Z141" s="17">
        <f>_xlfn.STDEV.S(S132:S141)</f>
        <v>0.2802257026834698</v>
      </c>
      <c r="AA141" s="17">
        <f t="shared" ref="AA141" si="28">_xlfn.STDEV.S(T132:T141)</f>
        <v>0.17583101104311621</v>
      </c>
      <c r="AB141" s="17">
        <f>_xlfn.STDEV.S(U132:U141)</f>
        <v>0.27857376840694176</v>
      </c>
      <c r="AC141" s="17">
        <f>Tabelle15638[[#This Row],[Standardabweichung 1]]/Tabelle15638[[#This Row],[Mean Visc. 1 '[mPas']]]</f>
        <v>8.9902374938553034E-2</v>
      </c>
      <c r="AD141" s="17">
        <f>Tabelle15638[[#This Row],[Standardabweichung 2]]/Tabelle15638[[#This Row],[Mean Visc. 2 '[mPas']2]]</f>
        <v>7.4596330678849521E-2</v>
      </c>
      <c r="AE141" s="17">
        <f>Tabelle15638[[#This Row],[Standardabweichung 3]]/Tabelle15638[[#This Row],[Mean Visc. 3 '[mPas']3]]</f>
        <v>8.9467118992498235E-2</v>
      </c>
      <c r="AF141" s="17"/>
      <c r="AG141" s="17" t="e">
        <f>1-Tabelle15638[[#This Row],[Mean Visc. 1 '[mPas']]]/#REF!</f>
        <v>#REF!</v>
      </c>
      <c r="AH141" s="17"/>
      <c r="AI141" s="17"/>
    </row>
    <row r="142" spans="1:35" ht="15" thickTop="1" x14ac:dyDescent="0.3">
      <c r="A142">
        <v>141</v>
      </c>
      <c r="B142" s="4"/>
      <c r="C142" s="5"/>
      <c r="D142" s="7">
        <v>5</v>
      </c>
      <c r="E142" t="s">
        <v>189</v>
      </c>
      <c r="F142" t="s">
        <v>175</v>
      </c>
      <c r="G142" t="s">
        <v>188</v>
      </c>
      <c r="J142" s="7">
        <v>25.5</v>
      </c>
      <c r="K142" s="7">
        <v>16</v>
      </c>
      <c r="L142" s="7">
        <v>31.59</v>
      </c>
      <c r="M142" s="7">
        <v>395</v>
      </c>
      <c r="N142" s="7">
        <f>Tabelle15638[[#This Row],[Anzahl Frames]]/Tabelle15638[[#This Row],[Aufnahmezeit '[s']]]</f>
        <v>12.503956948401393</v>
      </c>
      <c r="O142" s="7">
        <f>1/Tabelle15638[[#This Row],[Mean fps ]]</f>
        <v>7.9974683544303787E-2</v>
      </c>
      <c r="P142" s="7">
        <v>40</v>
      </c>
      <c r="S142" s="7">
        <v>0.85899999999999999</v>
      </c>
      <c r="T142" s="7">
        <v>0.69699999999999995</v>
      </c>
      <c r="U142" s="7">
        <v>1.2909999999999999</v>
      </c>
      <c r="V142" s="7"/>
      <c r="W142" s="7"/>
      <c r="X142" s="7"/>
      <c r="Y142" s="7"/>
      <c r="Z142" s="7" t="e" cm="1">
        <f t="array" ref="Z142">STABW</f>
        <v>#NAME?</v>
      </c>
      <c r="AA142" s="7"/>
      <c r="AB142" s="7"/>
      <c r="AC142" s="7" t="e">
        <f>Tabelle15638[[#This Row],[Standardabweichung 1]]/Tabelle15638[[#This Row],[Mean Visc. 1 '[mPas']]]</f>
        <v>#NAME?</v>
      </c>
      <c r="AD142" s="7" t="e">
        <f>Tabelle156[[#This Row],[Standardabweichung 2]]/Tabelle156[[#This Row],[Mean Visc. 2 '[mPas']2]]</f>
        <v>#VALUE!</v>
      </c>
      <c r="AE142" s="7" t="e">
        <f>Tabelle156[[#This Row],[Standardabweichung 3]]/Tabelle156[[#This Row],[Mean Visc. 3 '[mPas']3]]</f>
        <v>#VALUE!</v>
      </c>
      <c r="AF142" s="7"/>
      <c r="AG142" s="7" t="e">
        <f>1-Tabelle15638[[#This Row],[Mean Visc. 1 '[mPas']]]/#REF!</f>
        <v>#REF!</v>
      </c>
      <c r="AH142" s="7"/>
      <c r="AI142" s="7"/>
    </row>
    <row r="143" spans="1:35" x14ac:dyDescent="0.3">
      <c r="A143">
        <v>142</v>
      </c>
      <c r="B143" s="4"/>
      <c r="C143" s="5"/>
      <c r="D143" s="7">
        <v>5</v>
      </c>
      <c r="E143" t="s">
        <v>189</v>
      </c>
      <c r="F143" t="s">
        <v>175</v>
      </c>
      <c r="G143" t="s">
        <v>188</v>
      </c>
      <c r="J143" s="7">
        <v>25.5</v>
      </c>
      <c r="K143" s="7">
        <v>16</v>
      </c>
      <c r="L143" s="7">
        <v>32.159999999999997</v>
      </c>
      <c r="M143" s="7">
        <v>403</v>
      </c>
      <c r="N143" s="7">
        <f>Tabelle15638[[#This Row],[Anzahl Frames]]/Tabelle15638[[#This Row],[Aufnahmezeit '[s']]]</f>
        <v>12.531094527363186</v>
      </c>
      <c r="O143" s="7">
        <f>1/Tabelle15638[[#This Row],[Mean fps ]]</f>
        <v>7.9801488833746895E-2</v>
      </c>
      <c r="P143" s="7">
        <v>40</v>
      </c>
      <c r="S143" s="7">
        <v>0.83299999999999996</v>
      </c>
      <c r="T143" s="7">
        <v>0.68100000000000005</v>
      </c>
      <c r="U143" s="7">
        <v>1.3260000000000001</v>
      </c>
      <c r="V143" s="7"/>
      <c r="W143" s="7"/>
      <c r="X143" s="7"/>
      <c r="Y143" s="7"/>
      <c r="Z143" s="7" t="e" cm="1">
        <f t="array" ref="Z143">STABW</f>
        <v>#NAME?</v>
      </c>
      <c r="AA143" s="7"/>
      <c r="AB143" s="7"/>
      <c r="AC143" s="7" t="e">
        <f>Tabelle15638[[#This Row],[Standardabweichung 1]]/Tabelle15638[[#This Row],[Mean Visc. 1 '[mPas']]]</f>
        <v>#NAME?</v>
      </c>
      <c r="AD143" s="7" t="e">
        <f>Tabelle156[[#This Row],[Standardabweichung 2]]/Tabelle156[[#This Row],[Mean Visc. 2 '[mPas']2]]</f>
        <v>#VALUE!</v>
      </c>
      <c r="AE143" s="7" t="e">
        <f>Tabelle156[[#This Row],[Standardabweichung 3]]/Tabelle156[[#This Row],[Mean Visc. 3 '[mPas']3]]</f>
        <v>#VALUE!</v>
      </c>
      <c r="AF143" s="7"/>
      <c r="AG143" s="7" t="e">
        <f>1-Tabelle15638[[#This Row],[Mean Visc. 1 '[mPas']]]/#REF!</f>
        <v>#REF!</v>
      </c>
      <c r="AH143" s="7"/>
      <c r="AI143" s="7"/>
    </row>
    <row r="144" spans="1:35" x14ac:dyDescent="0.3">
      <c r="A144">
        <v>143</v>
      </c>
      <c r="B144" s="4"/>
      <c r="C144" s="5"/>
      <c r="D144" s="7">
        <v>5</v>
      </c>
      <c r="E144" t="s">
        <v>189</v>
      </c>
      <c r="F144" t="s">
        <v>175</v>
      </c>
      <c r="G144" t="s">
        <v>188</v>
      </c>
      <c r="J144" s="7">
        <v>25.5</v>
      </c>
      <c r="K144" s="7">
        <v>16</v>
      </c>
      <c r="L144" s="7">
        <v>30.64</v>
      </c>
      <c r="M144" s="7">
        <v>383</v>
      </c>
      <c r="N144" s="7">
        <f>Tabelle15638[[#This Row],[Anzahl Frames]]/Tabelle15638[[#This Row],[Aufnahmezeit '[s']]]</f>
        <v>12.5</v>
      </c>
      <c r="O144" s="7">
        <f>1/Tabelle15638[[#This Row],[Mean fps ]]</f>
        <v>0.08</v>
      </c>
      <c r="P144" s="7">
        <v>40</v>
      </c>
      <c r="S144" s="7">
        <v>0.83199999999999996</v>
      </c>
      <c r="T144" s="7">
        <v>0.7</v>
      </c>
      <c r="U144" s="7">
        <v>1.3160000000000001</v>
      </c>
      <c r="V144" s="7"/>
      <c r="W144" s="7"/>
      <c r="X144" s="7"/>
      <c r="Y144" s="7"/>
      <c r="Z144" s="7" t="e" cm="1">
        <f t="array" ref="Z144">STABW</f>
        <v>#NAME?</v>
      </c>
      <c r="AA144" s="7"/>
      <c r="AB144" s="7"/>
      <c r="AC144" s="7" t="e">
        <f>Tabelle15638[[#This Row],[Standardabweichung 1]]/Tabelle15638[[#This Row],[Mean Visc. 1 '[mPas']]]</f>
        <v>#NAME?</v>
      </c>
      <c r="AD144" s="7" t="e">
        <f>Tabelle156[[#This Row],[Standardabweichung 2]]/Tabelle156[[#This Row],[Mean Visc. 2 '[mPas']2]]</f>
        <v>#VALUE!</v>
      </c>
      <c r="AE144" s="7" t="e">
        <f>Tabelle156[[#This Row],[Standardabweichung 3]]/Tabelle156[[#This Row],[Mean Visc. 3 '[mPas']3]]</f>
        <v>#VALUE!</v>
      </c>
      <c r="AF144" s="7"/>
      <c r="AG144" s="7" t="e">
        <f>1-Tabelle15638[[#This Row],[Mean Visc. 1 '[mPas']]]/#REF!</f>
        <v>#REF!</v>
      </c>
      <c r="AH144" s="7"/>
      <c r="AI144" s="7"/>
    </row>
    <row r="145" spans="1:35" x14ac:dyDescent="0.3">
      <c r="A145">
        <v>144</v>
      </c>
      <c r="B145" s="4"/>
      <c r="C145" s="5"/>
      <c r="D145" s="7">
        <v>5</v>
      </c>
      <c r="E145" t="s">
        <v>189</v>
      </c>
      <c r="F145" t="s">
        <v>175</v>
      </c>
      <c r="G145" t="s">
        <v>188</v>
      </c>
      <c r="J145" s="7">
        <v>25.5</v>
      </c>
      <c r="K145" s="7">
        <v>16</v>
      </c>
      <c r="L145" s="7">
        <v>30.96</v>
      </c>
      <c r="M145" s="7">
        <v>388</v>
      </c>
      <c r="N145" s="7">
        <f>Tabelle15638[[#This Row],[Anzahl Frames]]/Tabelle15638[[#This Row],[Aufnahmezeit '[s']]]</f>
        <v>12.532299741602067</v>
      </c>
      <c r="O145" s="7">
        <f>1/Tabelle15638[[#This Row],[Mean fps ]]</f>
        <v>7.979381443298969E-2</v>
      </c>
      <c r="P145" s="7">
        <v>40</v>
      </c>
      <c r="S145" s="7">
        <v>0.86299999999999999</v>
      </c>
      <c r="T145" s="7">
        <v>0.68300000000000005</v>
      </c>
      <c r="U145" s="7">
        <v>1.3149999999999999</v>
      </c>
      <c r="V145" s="7"/>
      <c r="W145" s="7"/>
      <c r="X145" s="7"/>
      <c r="Y145" s="7"/>
      <c r="Z145" s="7" t="e" cm="1">
        <f t="array" ref="Z145">STABW</f>
        <v>#NAME?</v>
      </c>
      <c r="AA145" s="7"/>
      <c r="AB145" s="7"/>
      <c r="AC145" s="7" t="e">
        <f>Tabelle15638[[#This Row],[Standardabweichung 1]]/Tabelle15638[[#This Row],[Mean Visc. 1 '[mPas']]]</f>
        <v>#NAME?</v>
      </c>
      <c r="AD145" s="7" t="e">
        <f>Tabelle156[[#This Row],[Standardabweichung 2]]/Tabelle156[[#This Row],[Mean Visc. 2 '[mPas']2]]</f>
        <v>#VALUE!</v>
      </c>
      <c r="AE145" s="7" t="e">
        <f>Tabelle156[[#This Row],[Standardabweichung 3]]/Tabelle156[[#This Row],[Mean Visc. 3 '[mPas']3]]</f>
        <v>#VALUE!</v>
      </c>
      <c r="AF145" s="7"/>
      <c r="AG145" s="7" t="e">
        <f>1-Tabelle15638[[#This Row],[Mean Visc. 1 '[mPas']]]/#REF!</f>
        <v>#REF!</v>
      </c>
      <c r="AH145" s="7"/>
      <c r="AI145" s="7"/>
    </row>
    <row r="146" spans="1:35" s="14" customFormat="1" ht="15" thickBot="1" x14ac:dyDescent="0.35">
      <c r="A146">
        <v>145</v>
      </c>
      <c r="B146" s="15"/>
      <c r="C146" s="16"/>
      <c r="D146" s="7">
        <v>5</v>
      </c>
      <c r="E146" t="s">
        <v>189</v>
      </c>
      <c r="F146" t="s">
        <v>175</v>
      </c>
      <c r="G146" t="s">
        <v>188</v>
      </c>
      <c r="H146" s="21"/>
      <c r="I146" s="19"/>
      <c r="J146" s="17">
        <v>25.5</v>
      </c>
      <c r="K146" s="17">
        <v>16</v>
      </c>
      <c r="L146" s="17">
        <v>30.56</v>
      </c>
      <c r="M146" s="17">
        <v>382</v>
      </c>
      <c r="N146" s="17">
        <f>Tabelle15638[[#This Row],[Anzahl Frames]]/Tabelle15638[[#This Row],[Aufnahmezeit '[s']]]</f>
        <v>12.5</v>
      </c>
      <c r="O146" s="17">
        <f>1/Tabelle15638[[#This Row],[Mean fps ]]</f>
        <v>0.08</v>
      </c>
      <c r="P146" s="17">
        <v>40</v>
      </c>
      <c r="Q146" s="20"/>
      <c r="R146" s="21"/>
      <c r="S146" s="17">
        <v>0.81100000000000005</v>
      </c>
      <c r="T146" s="17">
        <v>0.66900000000000004</v>
      </c>
      <c r="U146" s="17">
        <v>1.2769999999999999</v>
      </c>
      <c r="V146" s="17"/>
      <c r="W146" s="17"/>
      <c r="X146" s="17"/>
      <c r="Y146" s="17"/>
      <c r="Z146" s="17" t="e" cm="1">
        <f t="array" ref="Z146">STABW</f>
        <v>#NAME?</v>
      </c>
      <c r="AA146" s="17"/>
      <c r="AB146" s="17"/>
      <c r="AC146" s="17" t="e">
        <f>Tabelle15638[[#This Row],[Standardabweichung 1]]/Tabelle15638[[#This Row],[Mean Visc. 1 '[mPas']]]</f>
        <v>#NAME?</v>
      </c>
      <c r="AD146" s="17" t="e">
        <f>Tabelle156[[#This Row],[Standardabweichung 2]]/Tabelle156[[#This Row],[Mean Visc. 2 '[mPas']2]]</f>
        <v>#VALUE!</v>
      </c>
      <c r="AE146" s="17" t="e">
        <f>Tabelle156[[#This Row],[Standardabweichung 3]]/Tabelle156[[#This Row],[Mean Visc. 3 '[mPas']3]]</f>
        <v>#VALUE!</v>
      </c>
      <c r="AF146" s="17"/>
      <c r="AG146" s="17" t="e">
        <f>1-Tabelle15638[[#This Row],[Mean Visc. 1 '[mPas']]]/#REF!</f>
        <v>#REF!</v>
      </c>
      <c r="AH146" s="17"/>
      <c r="AI146" s="17"/>
    </row>
    <row r="147" spans="1:35" ht="15" thickTop="1" x14ac:dyDescent="0.3">
      <c r="A147">
        <v>146</v>
      </c>
      <c r="B147" s="4"/>
      <c r="C147" s="5"/>
      <c r="D147" s="7">
        <v>5</v>
      </c>
      <c r="E147" t="s">
        <v>189</v>
      </c>
      <c r="F147" t="s">
        <v>175</v>
      </c>
      <c r="G147" t="s">
        <v>188</v>
      </c>
      <c r="J147" s="7">
        <v>25.6</v>
      </c>
      <c r="K147" s="7">
        <v>16</v>
      </c>
      <c r="L147" s="7">
        <v>32.24</v>
      </c>
      <c r="M147" s="7">
        <v>404</v>
      </c>
      <c r="N147" s="7">
        <f>Tabelle15638[[#This Row],[Anzahl Frames]]/Tabelle15638[[#This Row],[Aufnahmezeit '[s']]]</f>
        <v>12.531017369727046</v>
      </c>
      <c r="O147" s="7">
        <f>1/Tabelle15638[[#This Row],[Mean fps ]]</f>
        <v>7.9801980198019817E-2</v>
      </c>
      <c r="P147" s="7">
        <v>40</v>
      </c>
      <c r="S147" s="7">
        <v>0.82899999999999996</v>
      </c>
      <c r="T147" s="7">
        <v>0.68799999999999994</v>
      </c>
      <c r="U147" s="7">
        <v>1.2669999999999999</v>
      </c>
      <c r="V147" s="7"/>
      <c r="W147" s="7"/>
      <c r="X147" s="7"/>
      <c r="Y147" s="7"/>
      <c r="Z147" s="7" t="e" cm="1">
        <f t="array" ref="Z147">STABW</f>
        <v>#NAME?</v>
      </c>
      <c r="AA147" s="7"/>
      <c r="AB147" s="7"/>
      <c r="AC147" s="7" t="e">
        <f>Tabelle15638[[#This Row],[Standardabweichung 1]]/Tabelle15638[[#This Row],[Mean Visc. 1 '[mPas']]]</f>
        <v>#NAME?</v>
      </c>
      <c r="AD147" s="7" t="e">
        <f>Tabelle156[[#This Row],[Standardabweichung 2]]/Tabelle156[[#This Row],[Mean Visc. 2 '[mPas']2]]</f>
        <v>#VALUE!</v>
      </c>
      <c r="AE147" s="7" t="e">
        <f>Tabelle156[[#This Row],[Standardabweichung 3]]/Tabelle156[[#This Row],[Mean Visc. 3 '[mPas']3]]</f>
        <v>#VALUE!</v>
      </c>
      <c r="AF147" s="7"/>
      <c r="AG147" s="7" t="e">
        <f>1-Tabelle15638[[#This Row],[Mean Visc. 1 '[mPas']]]/#REF!</f>
        <v>#REF!</v>
      </c>
      <c r="AH147" s="7"/>
      <c r="AI147" s="7"/>
    </row>
    <row r="148" spans="1:35" x14ac:dyDescent="0.3">
      <c r="A148">
        <v>147</v>
      </c>
      <c r="B148" s="4"/>
      <c r="C148" s="5"/>
      <c r="D148" s="7">
        <v>5</v>
      </c>
      <c r="E148" t="s">
        <v>189</v>
      </c>
      <c r="F148" t="s">
        <v>175</v>
      </c>
      <c r="G148" t="s">
        <v>188</v>
      </c>
      <c r="J148" s="7">
        <v>25.6</v>
      </c>
      <c r="K148" s="7">
        <v>16</v>
      </c>
      <c r="L148" s="7">
        <v>31.12</v>
      </c>
      <c r="M148" s="7">
        <v>390</v>
      </c>
      <c r="N148" s="7">
        <f>Tabelle15638[[#This Row],[Anzahl Frames]]/Tabelle15638[[#This Row],[Aufnahmezeit '[s']]]</f>
        <v>12.532133676092545</v>
      </c>
      <c r="O148" s="7">
        <f>1/Tabelle15638[[#This Row],[Mean fps ]]</f>
        <v>7.9794871794871797E-2</v>
      </c>
      <c r="P148" s="7">
        <v>40</v>
      </c>
      <c r="S148" s="7">
        <v>0.879</v>
      </c>
      <c r="T148" s="7">
        <v>0.749</v>
      </c>
      <c r="U148" s="7">
        <v>1.3029999999999999</v>
      </c>
      <c r="V148" s="7"/>
      <c r="W148" s="7"/>
      <c r="X148" s="7"/>
      <c r="Y148" s="7"/>
      <c r="Z148" s="7" t="e" cm="1">
        <f t="array" ref="Z148">STABW</f>
        <v>#NAME?</v>
      </c>
      <c r="AA148" s="7"/>
      <c r="AB148" s="7"/>
      <c r="AC148" s="7" t="e">
        <f>Tabelle15638[[#This Row],[Standardabweichung 1]]/Tabelle15638[[#This Row],[Mean Visc. 1 '[mPas']]]</f>
        <v>#NAME?</v>
      </c>
      <c r="AD148" s="7" t="e">
        <f>Tabelle156[[#This Row],[Standardabweichung 2]]/Tabelle156[[#This Row],[Mean Visc. 2 '[mPas']2]]</f>
        <v>#VALUE!</v>
      </c>
      <c r="AE148" s="7" t="e">
        <f>Tabelle156[[#This Row],[Standardabweichung 3]]/Tabelle156[[#This Row],[Mean Visc. 3 '[mPas']3]]</f>
        <v>#VALUE!</v>
      </c>
      <c r="AF148" s="7"/>
      <c r="AG148" s="7" t="e">
        <f>1-Tabelle15638[[#This Row],[Mean Visc. 1 '[mPas']]]/#REF!</f>
        <v>#REF!</v>
      </c>
      <c r="AH148" s="7"/>
      <c r="AI148" s="7"/>
    </row>
    <row r="149" spans="1:35" x14ac:dyDescent="0.3">
      <c r="A149">
        <v>148</v>
      </c>
      <c r="B149" s="4"/>
      <c r="C149" s="5"/>
      <c r="D149" s="7">
        <v>5</v>
      </c>
      <c r="E149" t="s">
        <v>189</v>
      </c>
      <c r="F149" t="s">
        <v>175</v>
      </c>
      <c r="G149" t="s">
        <v>188</v>
      </c>
      <c r="J149" s="7">
        <v>25.6</v>
      </c>
      <c r="K149" s="7">
        <v>16</v>
      </c>
      <c r="L149" s="7">
        <v>33.03</v>
      </c>
      <c r="M149" s="7">
        <v>413</v>
      </c>
      <c r="N149" s="7">
        <f>Tabelle15638[[#This Row],[Anzahl Frames]]/Tabelle15638[[#This Row],[Aufnahmezeit '[s']]]</f>
        <v>12.503784438389342</v>
      </c>
      <c r="O149" s="7">
        <f>1/Tabelle15638[[#This Row],[Mean fps ]]</f>
        <v>7.9975786924939479E-2</v>
      </c>
      <c r="P149" s="7">
        <v>40</v>
      </c>
      <c r="S149" s="7">
        <v>0.86199999999999999</v>
      </c>
      <c r="T149" s="7">
        <v>0.71199999999999997</v>
      </c>
      <c r="U149" s="7">
        <v>1.3120000000000001</v>
      </c>
      <c r="V149" s="7"/>
      <c r="W149" s="7"/>
      <c r="X149" s="7"/>
      <c r="Y149" s="7"/>
      <c r="Z149" s="7" t="e" cm="1">
        <f t="array" ref="Z149">STABW</f>
        <v>#NAME?</v>
      </c>
      <c r="AA149" s="7"/>
      <c r="AB149" s="7"/>
      <c r="AC149" s="7" t="e">
        <f>Tabelle15638[[#This Row],[Standardabweichung 1]]/Tabelle15638[[#This Row],[Mean Visc. 1 '[mPas']]]</f>
        <v>#NAME?</v>
      </c>
      <c r="AD149" s="7" t="e">
        <f>Tabelle156[[#This Row],[Standardabweichung 2]]/Tabelle156[[#This Row],[Mean Visc. 2 '[mPas']2]]</f>
        <v>#VALUE!</v>
      </c>
      <c r="AE149" s="7" t="e">
        <f>Tabelle156[[#This Row],[Standardabweichung 3]]/Tabelle156[[#This Row],[Mean Visc. 3 '[mPas']3]]</f>
        <v>#VALUE!</v>
      </c>
      <c r="AF149" s="7"/>
      <c r="AG149" s="7" t="e">
        <f>1-Tabelle15638[[#This Row],[Mean Visc. 1 '[mPas']]]/#REF!</f>
        <v>#REF!</v>
      </c>
      <c r="AH149" s="7"/>
      <c r="AI149" s="7"/>
    </row>
    <row r="150" spans="1:35" x14ac:dyDescent="0.3">
      <c r="A150">
        <v>149</v>
      </c>
      <c r="B150" s="4"/>
      <c r="C150" s="5"/>
      <c r="D150" s="7">
        <v>5</v>
      </c>
      <c r="E150" t="s">
        <v>189</v>
      </c>
      <c r="F150" t="s">
        <v>175</v>
      </c>
      <c r="G150" t="s">
        <v>188</v>
      </c>
      <c r="J150" s="7">
        <v>25.6</v>
      </c>
      <c r="K150" s="7">
        <v>16</v>
      </c>
      <c r="L150" s="7">
        <v>33.03</v>
      </c>
      <c r="M150" s="7">
        <v>413</v>
      </c>
      <c r="N150" s="7">
        <f>Tabelle15638[[#This Row],[Anzahl Frames]]/Tabelle15638[[#This Row],[Aufnahmezeit '[s']]]</f>
        <v>12.503784438389342</v>
      </c>
      <c r="O150" s="7">
        <f>1/Tabelle15638[[#This Row],[Mean fps ]]</f>
        <v>7.9975786924939479E-2</v>
      </c>
      <c r="P150" s="7">
        <v>40</v>
      </c>
      <c r="S150" s="7">
        <v>0.84499999999999997</v>
      </c>
      <c r="T150" s="7">
        <v>0.74199999999999999</v>
      </c>
      <c r="U150" s="7">
        <v>1.3169999999999999</v>
      </c>
      <c r="V150" s="7"/>
      <c r="W150" s="7"/>
      <c r="X150" s="7"/>
      <c r="Y150" s="7"/>
      <c r="Z150" s="7" t="e" cm="1">
        <f t="array" ref="Z150">STABW</f>
        <v>#NAME?</v>
      </c>
      <c r="AA150" s="7"/>
      <c r="AB150" s="7"/>
      <c r="AC150" s="7" t="e">
        <f>Tabelle15638[[#This Row],[Standardabweichung 1]]/Tabelle15638[[#This Row],[Mean Visc. 1 '[mPas']]]</f>
        <v>#NAME?</v>
      </c>
      <c r="AD150" s="7" t="e">
        <f>Tabelle156[[#This Row],[Standardabweichung 2]]/Tabelle156[[#This Row],[Mean Visc. 2 '[mPas']2]]</f>
        <v>#VALUE!</v>
      </c>
      <c r="AE150" s="7" t="e">
        <f>Tabelle156[[#This Row],[Standardabweichung 3]]/Tabelle156[[#This Row],[Mean Visc. 3 '[mPas']3]]</f>
        <v>#VALUE!</v>
      </c>
      <c r="AF150" s="7"/>
      <c r="AG150" s="7" t="e">
        <f>1-Tabelle15638[[#This Row],[Mean Visc. 1 '[mPas']]]/#REF!</f>
        <v>#REF!</v>
      </c>
      <c r="AH150" s="7"/>
      <c r="AI150" s="7"/>
    </row>
    <row r="151" spans="1:35" s="14" customFormat="1" ht="15" thickBot="1" x14ac:dyDescent="0.35">
      <c r="A151">
        <v>150</v>
      </c>
      <c r="B151" s="15"/>
      <c r="C151" s="16"/>
      <c r="D151" s="7">
        <v>5</v>
      </c>
      <c r="E151" t="s">
        <v>189</v>
      </c>
      <c r="F151" t="s">
        <v>175</v>
      </c>
      <c r="G151" t="s">
        <v>188</v>
      </c>
      <c r="H151" s="21"/>
      <c r="I151" s="19"/>
      <c r="J151" s="17">
        <v>25.6</v>
      </c>
      <c r="K151" s="17">
        <v>16</v>
      </c>
      <c r="L151" s="17">
        <v>30.96</v>
      </c>
      <c r="M151" s="17">
        <v>388</v>
      </c>
      <c r="N151" s="17">
        <f>Tabelle15638[[#This Row],[Anzahl Frames]]/Tabelle15638[[#This Row],[Aufnahmezeit '[s']]]</f>
        <v>12.532299741602067</v>
      </c>
      <c r="O151" s="17">
        <f>1/Tabelle15638[[#This Row],[Mean fps ]]</f>
        <v>7.979381443298969E-2</v>
      </c>
      <c r="P151" s="17">
        <v>40</v>
      </c>
      <c r="Q151" s="20"/>
      <c r="R151" s="21"/>
      <c r="S151" s="17">
        <v>0.82699999999999996</v>
      </c>
      <c r="T151" s="17">
        <v>0.66300000000000003</v>
      </c>
      <c r="U151" s="17">
        <v>1.3089999999999999</v>
      </c>
      <c r="V151" s="17"/>
      <c r="W151" s="7">
        <f>SUM(S142:S151)/10</f>
        <v>0.84400000000000008</v>
      </c>
      <c r="X151" s="7">
        <f>SUM(T142:T151)/10</f>
        <v>0.69840000000000002</v>
      </c>
      <c r="Y151" s="7">
        <f t="shared" ref="Y151" si="29">SUM(U142:U151)/10</f>
        <v>1.3032999999999997</v>
      </c>
      <c r="Z151" s="17">
        <f>_xlfn.STDEV.S(S142:S151)</f>
        <v>2.1092389359408499E-2</v>
      </c>
      <c r="AA151" s="17">
        <f t="shared" ref="AA151" si="30">_xlfn.STDEV.S(T142:T151)</f>
        <v>2.8706174326169683E-2</v>
      </c>
      <c r="AB151" s="17">
        <f>_xlfn.STDEV.S(U142:U151)</f>
        <v>1.9061596062356537E-2</v>
      </c>
      <c r="AC151" s="17">
        <f>Tabelle15638[[#This Row],[Standardabweichung 1]]/Tabelle15638[[#This Row],[Mean Visc. 1 '[mPas']]]</f>
        <v>2.4990982653327602E-2</v>
      </c>
      <c r="AD151" s="17">
        <f>Tabelle15638[[#This Row],[Standardabweichung 2]]/Tabelle15638[[#This Row],[Mean Visc. 2 '[mPas']2]]</f>
        <v>4.1102769653736659E-2</v>
      </c>
      <c r="AE151" s="17">
        <f>Tabelle15638[[#This Row],[Standardabweichung 3]]/Tabelle15638[[#This Row],[Mean Visc. 3 '[mPas']3]]</f>
        <v>1.4625639578267889E-2</v>
      </c>
      <c r="AF151" s="17"/>
      <c r="AG151" s="17" t="e">
        <f>1-Tabelle15638[[#This Row],[Mean Visc. 1 '[mPas']]]/#REF!</f>
        <v>#REF!</v>
      </c>
      <c r="AH151" s="17"/>
      <c r="AI151" s="17"/>
    </row>
    <row r="152" spans="1:35" ht="15" thickTop="1" x14ac:dyDescent="0.3">
      <c r="B152" s="4"/>
      <c r="C152" s="5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 spans="1:35" x14ac:dyDescent="0.3">
      <c r="B153" s="4"/>
      <c r="C153" s="5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 spans="1:35" x14ac:dyDescent="0.3">
      <c r="B154" s="4"/>
      <c r="C154" s="5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 spans="1:35" x14ac:dyDescent="0.3">
      <c r="B155" s="4"/>
      <c r="C155" s="5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 spans="1:35" ht="15" thickBot="1" x14ac:dyDescent="0.35">
      <c r="B156" s="4"/>
      <c r="C156" s="5"/>
      <c r="J156" s="17"/>
      <c r="K156" s="17"/>
      <c r="L156" s="17"/>
      <c r="M156" s="17"/>
      <c r="S156" s="17"/>
      <c r="T156" s="17"/>
      <c r="U156" s="1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 spans="1:35" ht="15" thickTop="1" x14ac:dyDescent="0.3">
      <c r="B157" s="4"/>
      <c r="C157" s="5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 spans="1:35" x14ac:dyDescent="0.3">
      <c r="B158" s="4"/>
      <c r="C158" s="5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 spans="1:35" x14ac:dyDescent="0.3">
      <c r="B159" s="4"/>
      <c r="C159" s="5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 spans="1:35" x14ac:dyDescent="0.3">
      <c r="B160" s="4"/>
      <c r="C160" s="5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 spans="2:35" s="14" customFormat="1" ht="15" thickBot="1" x14ac:dyDescent="0.35">
      <c r="B161" s="15"/>
      <c r="C161" s="16"/>
      <c r="D161" s="7"/>
      <c r="H161" s="21"/>
      <c r="I161" s="19"/>
      <c r="J161" s="17"/>
      <c r="K161" s="17"/>
      <c r="L161" s="17"/>
      <c r="M161" s="17"/>
      <c r="N161" s="17"/>
      <c r="O161" s="17"/>
      <c r="P161" s="17"/>
      <c r="Q161" s="20"/>
      <c r="R161" s="21"/>
      <c r="S161" s="17"/>
      <c r="T161" s="17"/>
      <c r="U161" s="17"/>
      <c r="V161" s="17"/>
      <c r="W161" s="7"/>
      <c r="X161" s="7"/>
      <c r="Y161" s="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</row>
    <row r="162" spans="2:35" ht="15" thickTop="1" x14ac:dyDescent="0.3">
      <c r="B162" s="4"/>
      <c r="C162" s="5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 spans="2:35" x14ac:dyDescent="0.3">
      <c r="B163" s="4"/>
      <c r="C163" s="5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 spans="2:35" x14ac:dyDescent="0.3">
      <c r="B164" s="4"/>
      <c r="C164" s="5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 spans="2:35" x14ac:dyDescent="0.3">
      <c r="B165" s="4"/>
      <c r="C165" s="5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 spans="2:35" s="14" customFormat="1" ht="15" thickBot="1" x14ac:dyDescent="0.35">
      <c r="B166" s="15"/>
      <c r="C166" s="16"/>
      <c r="D166" s="7"/>
      <c r="H166" s="21"/>
      <c r="I166" s="19"/>
      <c r="J166" s="17"/>
      <c r="K166" s="17"/>
      <c r="L166" s="17"/>
      <c r="M166" s="17"/>
      <c r="N166" s="17"/>
      <c r="O166" s="17"/>
      <c r="P166" s="17"/>
      <c r="Q166" s="20"/>
      <c r="R166" s="21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</row>
    <row r="167" spans="2:35" ht="15" thickTop="1" x14ac:dyDescent="0.3">
      <c r="B167" s="4"/>
      <c r="C167" s="5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 spans="2:35" x14ac:dyDescent="0.3">
      <c r="B168" s="4"/>
      <c r="C168" s="5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 spans="2:35" x14ac:dyDescent="0.3">
      <c r="B169" s="4"/>
      <c r="C169" s="5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 spans="2:35" x14ac:dyDescent="0.3">
      <c r="B170" s="4"/>
      <c r="C170" s="5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 spans="2:35" s="14" customFormat="1" ht="15" thickBot="1" x14ac:dyDescent="0.35">
      <c r="B171" s="15"/>
      <c r="C171" s="16"/>
      <c r="D171" s="7"/>
      <c r="H171" s="21"/>
      <c r="I171" s="19"/>
      <c r="J171" s="17"/>
      <c r="K171" s="17"/>
      <c r="L171" s="17"/>
      <c r="M171" s="17"/>
      <c r="N171" s="17"/>
      <c r="O171" s="17"/>
      <c r="P171" s="17"/>
      <c r="Q171" s="20"/>
      <c r="R171" s="21"/>
      <c r="S171" s="17"/>
      <c r="T171" s="17"/>
      <c r="U171" s="17"/>
      <c r="V171" s="17"/>
      <c r="W171" s="7"/>
      <c r="X171" s="7"/>
      <c r="Y171" s="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</row>
    <row r="172" spans="2:35" ht="15" thickTop="1" x14ac:dyDescent="0.3">
      <c r="B172" s="4"/>
      <c r="C172" s="5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 spans="2:35" x14ac:dyDescent="0.3">
      <c r="B173" s="4"/>
      <c r="C173" s="5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 spans="2:35" x14ac:dyDescent="0.3">
      <c r="B174" s="4"/>
      <c r="C174" s="5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 spans="2:35" x14ac:dyDescent="0.3">
      <c r="B175" s="4"/>
      <c r="C175" s="5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 spans="2:35" ht="15" thickBot="1" x14ac:dyDescent="0.35">
      <c r="B176" s="4"/>
      <c r="C176" s="5"/>
      <c r="E176" s="14"/>
      <c r="F176" s="14"/>
      <c r="G176" s="14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 spans="2:35" ht="15" thickTop="1" x14ac:dyDescent="0.3">
      <c r="B177" s="4"/>
      <c r="C177" s="5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 spans="2:35" x14ac:dyDescent="0.3">
      <c r="B178" s="4"/>
      <c r="C178" s="5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 spans="2:35" x14ac:dyDescent="0.3">
      <c r="B179" s="4"/>
      <c r="C179" s="5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 spans="2:35" x14ac:dyDescent="0.3">
      <c r="B180" s="4"/>
      <c r="C180" s="5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 spans="2:35" s="14" customFormat="1" ht="15" thickBot="1" x14ac:dyDescent="0.35">
      <c r="B181" s="15"/>
      <c r="C181" s="16"/>
      <c r="D181" s="7"/>
      <c r="H181" s="21"/>
      <c r="I181" s="19"/>
      <c r="J181" s="17"/>
      <c r="K181" s="17"/>
      <c r="L181" s="17"/>
      <c r="M181" s="17"/>
      <c r="N181" s="17"/>
      <c r="O181" s="17"/>
      <c r="P181" s="17"/>
      <c r="Q181" s="20"/>
      <c r="R181" s="21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</row>
    <row r="182" spans="2:35" ht="15" thickTop="1" x14ac:dyDescent="0.3">
      <c r="B182" s="4"/>
      <c r="C182" s="5"/>
      <c r="G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 spans="2:35" x14ac:dyDescent="0.3">
      <c r="B183" s="4"/>
      <c r="C183" s="5"/>
      <c r="G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 spans="2:35" x14ac:dyDescent="0.3">
      <c r="B184" s="4"/>
      <c r="C184" s="5"/>
      <c r="G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 spans="2:35" x14ac:dyDescent="0.3">
      <c r="B185" s="4"/>
      <c r="C185" s="5"/>
      <c r="G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 spans="2:35" ht="15" thickBot="1" x14ac:dyDescent="0.35">
      <c r="B186" s="4"/>
      <c r="C186" s="5"/>
      <c r="G186" s="7"/>
      <c r="H186" s="21"/>
      <c r="J186" s="17"/>
      <c r="K186" s="17"/>
      <c r="L186" s="17"/>
      <c r="M186" s="17"/>
      <c r="S186" s="17"/>
      <c r="T186" s="17"/>
      <c r="U186" s="1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 spans="2:35" ht="15" thickTop="1" x14ac:dyDescent="0.3">
      <c r="B187" s="4"/>
      <c r="C187" s="5"/>
      <c r="G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 spans="2:35" x14ac:dyDescent="0.3">
      <c r="B188" s="4"/>
      <c r="C188" s="5"/>
      <c r="G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 spans="2:35" x14ac:dyDescent="0.3">
      <c r="B189" s="4"/>
      <c r="C189" s="5"/>
      <c r="G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 spans="2:35" x14ac:dyDescent="0.3">
      <c r="B190" s="4"/>
      <c r="C190" s="5"/>
      <c r="G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 spans="2:35" s="14" customFormat="1" ht="15" thickBot="1" x14ac:dyDescent="0.35">
      <c r="B191" s="15"/>
      <c r="C191" s="16"/>
      <c r="D191" s="7"/>
      <c r="F191"/>
      <c r="G191" s="17"/>
      <c r="H191" s="21"/>
      <c r="I191" s="19"/>
      <c r="J191" s="17"/>
      <c r="K191" s="17"/>
      <c r="L191" s="17"/>
      <c r="M191" s="17"/>
      <c r="N191" s="17"/>
      <c r="O191" s="17"/>
      <c r="P191" s="17"/>
      <c r="Q191" s="20"/>
      <c r="R191" s="21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</row>
    <row r="192" spans="2:35" ht="15" thickTop="1" x14ac:dyDescent="0.3">
      <c r="B192" s="4"/>
      <c r="C192" s="5"/>
      <c r="G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 spans="2:35" x14ac:dyDescent="0.3">
      <c r="B193" s="4"/>
      <c r="C193" s="5"/>
      <c r="G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 spans="2:35" x14ac:dyDescent="0.3">
      <c r="B194" s="4"/>
      <c r="C194" s="5"/>
      <c r="G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 spans="2:35" x14ac:dyDescent="0.3">
      <c r="B195" s="4"/>
      <c r="C195" s="5"/>
      <c r="G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 spans="2:35" ht="15" thickBot="1" x14ac:dyDescent="0.35">
      <c r="B196" s="4"/>
      <c r="C196" s="5"/>
      <c r="G196" s="17"/>
      <c r="H196" s="21"/>
      <c r="I196" s="19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 spans="2:35" ht="15" thickTop="1" x14ac:dyDescent="0.3">
      <c r="B197" s="4"/>
      <c r="C197" s="5"/>
      <c r="G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 spans="2:35" x14ac:dyDescent="0.3">
      <c r="B198" s="4"/>
      <c r="C198" s="5"/>
      <c r="G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 spans="2:35" x14ac:dyDescent="0.3">
      <c r="B199" s="4"/>
      <c r="C199" s="5"/>
      <c r="G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 spans="2:35" x14ac:dyDescent="0.3">
      <c r="B200" s="4"/>
      <c r="C200" s="5"/>
      <c r="G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 spans="2:35" s="14" customFormat="1" ht="15" thickBot="1" x14ac:dyDescent="0.35">
      <c r="B201" s="15"/>
      <c r="C201" s="16"/>
      <c r="D201" s="7"/>
      <c r="G201" s="17"/>
      <c r="H201" s="21"/>
      <c r="I201" s="19"/>
      <c r="J201" s="17"/>
      <c r="K201" s="17"/>
      <c r="L201" s="17"/>
      <c r="M201" s="17"/>
      <c r="N201" s="17"/>
      <c r="O201" s="17"/>
      <c r="P201" s="17"/>
      <c r="Q201" s="20"/>
      <c r="R201" s="21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</row>
    <row r="202" spans="2:35" ht="15" thickTop="1" x14ac:dyDescent="0.3">
      <c r="B202" s="4"/>
      <c r="C202" s="5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 spans="2:35" x14ac:dyDescent="0.3">
      <c r="B203" s="4"/>
      <c r="C203" s="5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 spans="2:35" x14ac:dyDescent="0.3">
      <c r="B204" s="4"/>
      <c r="C204" s="5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 spans="2:35" x14ac:dyDescent="0.3">
      <c r="B205" s="4"/>
      <c r="C205" s="5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 spans="2:35" x14ac:dyDescent="0.3">
      <c r="B206" s="4"/>
      <c r="C206" s="5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 spans="2:35" x14ac:dyDescent="0.3">
      <c r="B207" s="4"/>
      <c r="C207" s="5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 spans="2:35" x14ac:dyDescent="0.3">
      <c r="B208" s="4"/>
      <c r="C208" s="5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 spans="2:35" x14ac:dyDescent="0.3">
      <c r="B209" s="4"/>
      <c r="C209" s="5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 spans="2:35" x14ac:dyDescent="0.3">
      <c r="B210" s="4"/>
      <c r="C210" s="5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 spans="2:35" x14ac:dyDescent="0.3">
      <c r="B211" s="4"/>
      <c r="C211" s="5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</sheetData>
  <phoneticPr fontId="2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DF0F-D4EE-47F2-A694-81F367E52718}">
  <dimension ref="A1:AE211"/>
  <sheetViews>
    <sheetView zoomScale="49" workbookViewId="0">
      <selection activeCell="C214" sqref="C214"/>
    </sheetView>
  </sheetViews>
  <sheetFormatPr baseColWidth="10" defaultRowHeight="14.4" x14ac:dyDescent="0.3"/>
  <cols>
    <col min="1" max="1" width="5.44140625" customWidth="1"/>
  </cols>
  <sheetData>
    <row r="1" spans="1:31" x14ac:dyDescent="0.3">
      <c r="A1" s="1" t="s">
        <v>10</v>
      </c>
      <c r="B1" s="1" t="s">
        <v>0</v>
      </c>
      <c r="C1" s="1" t="s">
        <v>13</v>
      </c>
      <c r="D1" s="6" t="s">
        <v>1</v>
      </c>
      <c r="E1" s="1" t="s">
        <v>6</v>
      </c>
      <c r="F1" t="s">
        <v>177</v>
      </c>
      <c r="G1" s="6" t="s">
        <v>178</v>
      </c>
      <c r="H1" s="10" t="s">
        <v>14</v>
      </c>
      <c r="I1" s="8" t="s">
        <v>3</v>
      </c>
      <c r="J1" s="6" t="s">
        <v>2</v>
      </c>
      <c r="K1" s="6" t="s">
        <v>40</v>
      </c>
      <c r="L1" s="6" t="s">
        <v>8</v>
      </c>
      <c r="M1" s="6" t="s">
        <v>4</v>
      </c>
      <c r="N1" s="6" t="s">
        <v>42</v>
      </c>
      <c r="O1" s="6" t="s">
        <v>43</v>
      </c>
      <c r="P1" s="6" t="s">
        <v>9</v>
      </c>
      <c r="Q1" s="2" t="s">
        <v>7</v>
      </c>
      <c r="R1" s="13" t="s">
        <v>41</v>
      </c>
      <c r="S1" s="8" t="s">
        <v>44</v>
      </c>
      <c r="T1" s="8" t="s">
        <v>45</v>
      </c>
      <c r="U1" s="8" t="s">
        <v>46</v>
      </c>
      <c r="V1" s="8" t="s">
        <v>47</v>
      </c>
      <c r="W1" s="6" t="s">
        <v>48</v>
      </c>
      <c r="X1" s="6" t="s">
        <v>49</v>
      </c>
      <c r="Y1" s="6" t="s">
        <v>50</v>
      </c>
      <c r="Z1" s="6" t="s">
        <v>179</v>
      </c>
      <c r="AA1" s="6" t="s">
        <v>180</v>
      </c>
      <c r="AB1" s="6" t="s">
        <v>181</v>
      </c>
      <c r="AC1" s="6" t="s">
        <v>143</v>
      </c>
      <c r="AD1" s="6" t="s">
        <v>144</v>
      </c>
      <c r="AE1" s="6" t="s">
        <v>145</v>
      </c>
    </row>
    <row r="2" spans="1:31" x14ac:dyDescent="0.3">
      <c r="A2">
        <v>1</v>
      </c>
      <c r="B2" s="4"/>
      <c r="C2" s="5"/>
      <c r="D2" s="7">
        <v>1</v>
      </c>
      <c r="E2" t="s">
        <v>183</v>
      </c>
      <c r="F2" t="s">
        <v>197</v>
      </c>
      <c r="G2" s="23"/>
      <c r="H2" s="11" t="s">
        <v>198</v>
      </c>
      <c r="I2" s="9" t="s">
        <v>12</v>
      </c>
      <c r="J2" s="7">
        <v>24.5</v>
      </c>
      <c r="K2" s="7">
        <v>31</v>
      </c>
      <c r="L2" s="7">
        <v>30.48</v>
      </c>
      <c r="M2" s="7">
        <v>381</v>
      </c>
      <c r="N2" s="7" t="e">
        <f>[1]!Tabelle1321011121516[[#This Row],[Anzahl Frames]]/[1]!Tabelle1321011121516[[#This Row],[Aufnahmezeit '[s']]]</f>
        <v>#DIV/0!</v>
      </c>
      <c r="O2" s="6" t="e">
        <f>1/[1]!Tabelle1321011121516[[#This Row],[Mean fps ]]</f>
        <v>#DIV/0!</v>
      </c>
      <c r="P2" s="7">
        <v>40</v>
      </c>
      <c r="Q2" s="3"/>
      <c r="R2" s="11"/>
      <c r="S2" s="7">
        <v>1.8440000000000001</v>
      </c>
      <c r="T2" s="7">
        <v>1.603</v>
      </c>
      <c r="U2" s="7">
        <v>2.2170000000000001</v>
      </c>
      <c r="V2" s="7"/>
      <c r="W2" s="7"/>
      <c r="X2" s="7"/>
      <c r="Y2" s="7"/>
      <c r="Z2" s="7"/>
      <c r="AA2" s="7"/>
      <c r="AB2" s="7"/>
      <c r="AC2" s="7" t="e">
        <f>Tabelle1311[[#This Row],[SD 1]]/Tabelle1311[[#This Row],[Mean Visc. 1 '[mPas']]]</f>
        <v>#DIV/0!</v>
      </c>
      <c r="AD2" s="7"/>
      <c r="AE2" s="7"/>
    </row>
    <row r="3" spans="1:31" x14ac:dyDescent="0.3">
      <c r="A3">
        <v>2</v>
      </c>
      <c r="B3" s="4"/>
      <c r="C3" s="5"/>
      <c r="D3" s="7">
        <v>1</v>
      </c>
      <c r="E3" t="s">
        <v>183</v>
      </c>
      <c r="F3" t="s">
        <v>197</v>
      </c>
      <c r="G3" s="23"/>
      <c r="H3" s="11" t="s">
        <v>198</v>
      </c>
      <c r="I3" s="9" t="s">
        <v>12</v>
      </c>
      <c r="J3" s="7">
        <v>24.6</v>
      </c>
      <c r="K3" s="7">
        <v>31</v>
      </c>
      <c r="L3" s="7">
        <v>30</v>
      </c>
      <c r="M3" s="7">
        <v>376</v>
      </c>
      <c r="N3" s="7" t="e">
        <f>[1]!Tabelle1321011121516[[#This Row],[Anzahl Frames]]/[1]!Tabelle1321011121516[[#This Row],[Aufnahmezeit '[s']]]</f>
        <v>#DIV/0!</v>
      </c>
      <c r="O3" s="6" t="e">
        <f>1/[1]!Tabelle1321011121516[[#This Row],[Mean fps ]]</f>
        <v>#DIV/0!</v>
      </c>
      <c r="P3" s="7">
        <v>40</v>
      </c>
      <c r="Q3" s="3"/>
      <c r="R3" s="11"/>
      <c r="S3" s="7">
        <v>2.012</v>
      </c>
      <c r="T3" s="7">
        <v>1.7330000000000001</v>
      </c>
      <c r="U3" s="7">
        <v>2.3180000000000001</v>
      </c>
      <c r="V3" s="7"/>
      <c r="W3" s="7"/>
      <c r="X3" s="7"/>
      <c r="Y3" s="7"/>
      <c r="Z3" s="7"/>
      <c r="AA3" s="7"/>
      <c r="AB3" s="7"/>
      <c r="AC3" s="7" t="e">
        <f>Tabelle1311[[#This Row],[SD 1]]/Tabelle1311[[#This Row],[Mean Visc. 1 '[mPas']]]</f>
        <v>#DIV/0!</v>
      </c>
      <c r="AD3" s="7"/>
      <c r="AE3" s="7"/>
    </row>
    <row r="4" spans="1:31" x14ac:dyDescent="0.3">
      <c r="A4">
        <v>3</v>
      </c>
      <c r="B4" s="4"/>
      <c r="C4" s="5"/>
      <c r="D4" s="7">
        <v>1</v>
      </c>
      <c r="E4" t="s">
        <v>183</v>
      </c>
      <c r="F4" t="s">
        <v>197</v>
      </c>
      <c r="G4" s="23"/>
      <c r="H4" s="11" t="s">
        <v>198</v>
      </c>
      <c r="I4" s="9" t="s">
        <v>12</v>
      </c>
      <c r="J4" s="7">
        <v>24.7</v>
      </c>
      <c r="K4" s="7">
        <v>31</v>
      </c>
      <c r="L4" s="7">
        <v>29.6</v>
      </c>
      <c r="M4" s="7">
        <v>371</v>
      </c>
      <c r="N4" s="7" t="e">
        <f>[1]!Tabelle1321011121516[[#This Row],[Anzahl Frames]]/[1]!Tabelle1321011121516[[#This Row],[Aufnahmezeit '[s']]]</f>
        <v>#DIV/0!</v>
      </c>
      <c r="O4" s="6" t="e">
        <f>1/[1]!Tabelle1321011121516[[#This Row],[Mean fps ]]</f>
        <v>#DIV/0!</v>
      </c>
      <c r="P4" s="7">
        <v>40</v>
      </c>
      <c r="Q4" s="2"/>
      <c r="R4" s="11"/>
      <c r="S4" s="7">
        <v>1.968</v>
      </c>
      <c r="T4" s="7">
        <v>1.7529999999999999</v>
      </c>
      <c r="U4" s="7">
        <v>2.2160000000000002</v>
      </c>
      <c r="V4" s="7"/>
      <c r="W4" s="7"/>
      <c r="X4" s="7"/>
      <c r="Y4" s="7"/>
      <c r="Z4" s="7"/>
      <c r="AA4" s="7"/>
      <c r="AB4" s="7"/>
      <c r="AC4" s="7" t="e">
        <f>Tabelle1311[[#This Row],[SD 1]]/Tabelle1311[[#This Row],[Mean Visc. 1 '[mPas']]]</f>
        <v>#DIV/0!</v>
      </c>
      <c r="AD4" s="7"/>
      <c r="AE4" s="7"/>
    </row>
    <row r="5" spans="1:31" x14ac:dyDescent="0.3">
      <c r="A5">
        <v>4</v>
      </c>
      <c r="B5" s="4"/>
      <c r="C5" s="5"/>
      <c r="D5" s="7">
        <v>1</v>
      </c>
      <c r="E5" t="s">
        <v>183</v>
      </c>
      <c r="F5" t="s">
        <v>197</v>
      </c>
      <c r="G5" s="23"/>
      <c r="H5" s="11" t="s">
        <v>198</v>
      </c>
      <c r="I5" s="9" t="s">
        <v>12</v>
      </c>
      <c r="J5" s="7">
        <v>24.8</v>
      </c>
      <c r="K5" s="7">
        <v>31</v>
      </c>
      <c r="L5" s="7">
        <v>31.76</v>
      </c>
      <c r="M5" s="7">
        <v>398</v>
      </c>
      <c r="N5" s="7" t="e">
        <f>[1]!Tabelle1321011121516[[#This Row],[Anzahl Frames]]/[1]!Tabelle1321011121516[[#This Row],[Aufnahmezeit '[s']]]</f>
        <v>#DIV/0!</v>
      </c>
      <c r="O5" s="6" t="e">
        <f>1/[1]!Tabelle1321011121516[[#This Row],[Mean fps ]]</f>
        <v>#DIV/0!</v>
      </c>
      <c r="P5" s="7">
        <v>40</v>
      </c>
      <c r="Q5" s="3"/>
      <c r="R5" s="11"/>
      <c r="S5" s="7">
        <v>2.0510000000000002</v>
      </c>
      <c r="T5" s="7">
        <v>1.8580000000000001</v>
      </c>
      <c r="U5" s="7">
        <v>2.2850000000000001</v>
      </c>
      <c r="V5" s="7"/>
      <c r="W5" s="7"/>
      <c r="X5" s="7"/>
      <c r="Y5" s="7"/>
      <c r="Z5" s="7"/>
      <c r="AA5" s="7"/>
      <c r="AB5" s="7"/>
      <c r="AC5" s="7" t="e">
        <f>Tabelle1311[[#This Row],[SD 1]]/Tabelle1311[[#This Row],[Mean Visc. 1 '[mPas']]]</f>
        <v>#DIV/0!</v>
      </c>
      <c r="AD5" s="7"/>
      <c r="AE5" s="7"/>
    </row>
    <row r="6" spans="1:31" s="14" customFormat="1" ht="15" thickBot="1" x14ac:dyDescent="0.35">
      <c r="A6">
        <v>5</v>
      </c>
      <c r="B6" s="15"/>
      <c r="C6" s="16"/>
      <c r="D6" s="17">
        <v>1</v>
      </c>
      <c r="E6" t="s">
        <v>183</v>
      </c>
      <c r="F6" t="s">
        <v>197</v>
      </c>
      <c r="G6" s="23"/>
      <c r="H6" s="11" t="s">
        <v>198</v>
      </c>
      <c r="I6" s="9" t="s">
        <v>12</v>
      </c>
      <c r="J6" s="17">
        <v>24.8</v>
      </c>
      <c r="K6" s="17">
        <v>31</v>
      </c>
      <c r="L6" s="17">
        <v>31.36</v>
      </c>
      <c r="M6" s="17">
        <v>392</v>
      </c>
      <c r="N6" s="17" t="e">
        <f>[1]!Tabelle1321011121516[[#This Row],[Anzahl Frames]]/[1]!Tabelle1321011121516[[#This Row],[Aufnahmezeit '[s']]]</f>
        <v>#DIV/0!</v>
      </c>
      <c r="O6" s="25" t="e">
        <f>1/[1]!Tabelle1321011121516[[#This Row],[Mean fps ]]</f>
        <v>#DIV/0!</v>
      </c>
      <c r="P6" s="17">
        <v>40</v>
      </c>
      <c r="Q6" s="20"/>
      <c r="R6" s="21"/>
      <c r="S6" s="17">
        <v>2.0179999999999998</v>
      </c>
      <c r="T6" s="17">
        <v>1.835</v>
      </c>
      <c r="U6" s="17">
        <v>2.3180000000000001</v>
      </c>
      <c r="V6" s="17"/>
      <c r="W6" s="17"/>
      <c r="X6" s="17"/>
      <c r="Y6" s="17"/>
      <c r="Z6" s="17"/>
      <c r="AA6" s="17"/>
      <c r="AB6" s="17"/>
      <c r="AC6" s="17" t="e">
        <f>Tabelle1311[[#This Row],[SD 1]]/Tabelle1311[[#This Row],[Mean Visc. 1 '[mPas']]]</f>
        <v>#DIV/0!</v>
      </c>
      <c r="AD6" s="17"/>
      <c r="AE6" s="17"/>
    </row>
    <row r="7" spans="1:31" ht="15" thickTop="1" x14ac:dyDescent="0.3">
      <c r="A7">
        <v>6</v>
      </c>
      <c r="B7" s="4"/>
      <c r="C7" s="5"/>
      <c r="D7" s="7">
        <v>1</v>
      </c>
      <c r="E7" t="s">
        <v>183</v>
      </c>
      <c r="F7" t="s">
        <v>197</v>
      </c>
      <c r="G7" s="23"/>
      <c r="H7" s="11" t="s">
        <v>198</v>
      </c>
      <c r="I7" s="9" t="s">
        <v>12</v>
      </c>
      <c r="J7" s="7">
        <v>24.9</v>
      </c>
      <c r="K7" s="7">
        <v>31</v>
      </c>
      <c r="L7" s="7">
        <v>30.08</v>
      </c>
      <c r="M7" s="7">
        <v>376</v>
      </c>
      <c r="N7" s="7" t="e">
        <f>[1]!Tabelle1321011121516[[#This Row],[Anzahl Frames]]/[1]!Tabelle1321011121516[[#This Row],[Aufnahmezeit '[s']]]</f>
        <v>#DIV/0!</v>
      </c>
      <c r="O7" s="6" t="e">
        <f>1/[1]!Tabelle1321011121516[[#This Row],[Mean fps ]]</f>
        <v>#DIV/0!</v>
      </c>
      <c r="P7" s="7">
        <v>40</v>
      </c>
      <c r="Q7" s="3"/>
      <c r="R7" s="11"/>
      <c r="S7" s="7">
        <v>1.9059999999999999</v>
      </c>
      <c r="T7" s="7">
        <v>1.603</v>
      </c>
      <c r="U7" s="7">
        <v>2.1829999999999998</v>
      </c>
      <c r="V7" s="7"/>
      <c r="W7" s="7"/>
      <c r="X7" s="7"/>
      <c r="Y7" s="7"/>
      <c r="Z7" s="7"/>
      <c r="AA7" s="7"/>
      <c r="AB7" s="7"/>
      <c r="AC7" s="7" t="e">
        <f>Tabelle1311[[#This Row],[SD 1]]/Tabelle1311[[#This Row],[Mean Visc. 1 '[mPas']]]</f>
        <v>#DIV/0!</v>
      </c>
      <c r="AD7" s="7"/>
      <c r="AE7" s="7"/>
    </row>
    <row r="8" spans="1:31" x14ac:dyDescent="0.3">
      <c r="A8">
        <v>7</v>
      </c>
      <c r="B8" s="4"/>
      <c r="C8" s="5"/>
      <c r="D8" s="7">
        <v>1</v>
      </c>
      <c r="E8" t="s">
        <v>183</v>
      </c>
      <c r="F8" t="s">
        <v>197</v>
      </c>
      <c r="G8" s="23"/>
      <c r="H8" s="11" t="s">
        <v>198</v>
      </c>
      <c r="I8" s="9" t="s">
        <v>12</v>
      </c>
      <c r="J8" s="7">
        <v>25</v>
      </c>
      <c r="K8" s="7">
        <v>31</v>
      </c>
      <c r="L8" s="7">
        <v>29.9</v>
      </c>
      <c r="M8" s="7">
        <v>374</v>
      </c>
      <c r="N8" s="7" t="e">
        <f>[1]!Tabelle1321011121516[[#This Row],[Anzahl Frames]]/[1]!Tabelle1321011121516[[#This Row],[Aufnahmezeit '[s']]]</f>
        <v>#DIV/0!</v>
      </c>
      <c r="O8" s="6" t="e">
        <f>1/[1]!Tabelle1321011121516[[#This Row],[Mean fps ]]</f>
        <v>#DIV/0!</v>
      </c>
      <c r="P8" s="7">
        <v>40</v>
      </c>
      <c r="Q8" s="3"/>
      <c r="R8" s="11"/>
      <c r="S8" s="7">
        <v>1.853</v>
      </c>
      <c r="T8" s="7">
        <v>1.5289999999999999</v>
      </c>
      <c r="U8" s="7">
        <v>2.1880000000000002</v>
      </c>
      <c r="V8" s="7"/>
      <c r="W8" s="7"/>
      <c r="X8" s="7"/>
      <c r="Y8" s="7"/>
      <c r="Z8" s="7"/>
      <c r="AA8" s="7"/>
      <c r="AB8" s="7"/>
      <c r="AC8" s="7" t="e">
        <f>Tabelle1311[[#This Row],[SD 1]]/Tabelle1311[[#This Row],[Mean Visc. 1 '[mPas']]]</f>
        <v>#DIV/0!</v>
      </c>
      <c r="AD8" s="7"/>
      <c r="AE8" s="7"/>
    </row>
    <row r="9" spans="1:31" x14ac:dyDescent="0.3">
      <c r="A9">
        <v>8</v>
      </c>
      <c r="B9" s="4"/>
      <c r="C9" s="5"/>
      <c r="D9" s="7">
        <v>1</v>
      </c>
      <c r="E9" t="s">
        <v>183</v>
      </c>
      <c r="F9" t="s">
        <v>197</v>
      </c>
      <c r="G9" s="23"/>
      <c r="H9" s="11" t="s">
        <v>198</v>
      </c>
      <c r="I9" s="9" t="s">
        <v>12</v>
      </c>
      <c r="J9" s="7">
        <v>25</v>
      </c>
      <c r="K9" s="7">
        <v>31</v>
      </c>
      <c r="L9" s="7">
        <v>30.8</v>
      </c>
      <c r="M9" s="7">
        <v>385</v>
      </c>
      <c r="N9" s="7" t="e">
        <f>[1]!Tabelle1321011121516[[#This Row],[Anzahl Frames]]/[1]!Tabelle1321011121516[[#This Row],[Aufnahmezeit '[s']]]</f>
        <v>#DIV/0!</v>
      </c>
      <c r="O9" s="6" t="e">
        <f>1/[1]!Tabelle1321011121516[[#This Row],[Mean fps ]]</f>
        <v>#DIV/0!</v>
      </c>
      <c r="P9" s="7">
        <v>40</v>
      </c>
      <c r="Q9" s="3"/>
      <c r="R9" s="11"/>
      <c r="S9" s="7">
        <v>2.19</v>
      </c>
      <c r="T9" s="7">
        <v>1.907</v>
      </c>
      <c r="U9" s="7">
        <v>2.4</v>
      </c>
      <c r="V9" s="7"/>
      <c r="W9" s="7"/>
      <c r="X9" s="7"/>
      <c r="Y9" s="7"/>
      <c r="Z9" s="7"/>
      <c r="AA9" s="7"/>
      <c r="AB9" s="7"/>
      <c r="AC9" s="7" t="e">
        <f>Tabelle1311[[#This Row],[SD 1]]/Tabelle1311[[#This Row],[Mean Visc. 1 '[mPas']]]</f>
        <v>#DIV/0!</v>
      </c>
      <c r="AD9" s="7"/>
      <c r="AE9" s="7"/>
    </row>
    <row r="10" spans="1:31" x14ac:dyDescent="0.3">
      <c r="A10">
        <v>9</v>
      </c>
      <c r="B10" s="4"/>
      <c r="C10" s="5"/>
      <c r="D10" s="7">
        <v>1</v>
      </c>
      <c r="E10" t="s">
        <v>183</v>
      </c>
      <c r="F10" t="s">
        <v>197</v>
      </c>
      <c r="G10" s="23"/>
      <c r="H10" s="11" t="s">
        <v>198</v>
      </c>
      <c r="I10" s="9" t="s">
        <v>12</v>
      </c>
      <c r="J10" s="7">
        <v>25.1</v>
      </c>
      <c r="K10" s="7">
        <v>31</v>
      </c>
      <c r="L10" s="7">
        <v>30.96</v>
      </c>
      <c r="M10" s="7">
        <v>387</v>
      </c>
      <c r="N10" s="7" t="e">
        <f>[1]!Tabelle1321011121516[[#This Row],[Anzahl Frames]]/[1]!Tabelle1321011121516[[#This Row],[Aufnahmezeit '[s']]]</f>
        <v>#DIV/0!</v>
      </c>
      <c r="O10" s="6" t="e">
        <f>1/[1]!Tabelle1321011121516[[#This Row],[Mean fps ]]</f>
        <v>#DIV/0!</v>
      </c>
      <c r="P10" s="7">
        <v>40</v>
      </c>
      <c r="Q10" s="3"/>
      <c r="R10" s="11"/>
      <c r="S10" s="7">
        <v>1.966</v>
      </c>
      <c r="T10" s="7">
        <v>1.677</v>
      </c>
      <c r="U10" s="7">
        <v>2.2869999999999999</v>
      </c>
      <c r="V10" s="7"/>
      <c r="W10" s="7"/>
      <c r="X10" s="7"/>
      <c r="Y10" s="7"/>
      <c r="Z10" s="7"/>
      <c r="AA10" s="7"/>
      <c r="AB10" s="7"/>
      <c r="AC10" s="7" t="e">
        <f>Tabelle1311[[#This Row],[SD 1]]/Tabelle1311[[#This Row],[Mean Visc. 1 '[mPas']]]</f>
        <v>#DIV/0!</v>
      </c>
      <c r="AD10" s="7"/>
      <c r="AE10" s="7"/>
    </row>
    <row r="11" spans="1:31" s="14" customFormat="1" ht="15" thickBot="1" x14ac:dyDescent="0.35">
      <c r="A11">
        <v>10</v>
      </c>
      <c r="B11" s="15"/>
      <c r="C11" s="16"/>
      <c r="D11" s="17">
        <v>1</v>
      </c>
      <c r="E11" t="s">
        <v>183</v>
      </c>
      <c r="F11" t="s">
        <v>197</v>
      </c>
      <c r="G11" s="23"/>
      <c r="H11" s="11" t="s">
        <v>198</v>
      </c>
      <c r="I11" s="9" t="s">
        <v>12</v>
      </c>
      <c r="J11" s="17">
        <v>25.2</v>
      </c>
      <c r="K11" s="17">
        <v>28</v>
      </c>
      <c r="L11" s="17">
        <v>31.2</v>
      </c>
      <c r="M11" s="17">
        <v>390</v>
      </c>
      <c r="N11" s="17" t="e">
        <f>[1]!Tabelle1321011121516[[#This Row],[Anzahl Frames]]/[1]!Tabelle1321011121516[[#This Row],[Aufnahmezeit '[s']]]</f>
        <v>#DIV/0!</v>
      </c>
      <c r="O11" s="25" t="e">
        <f>1/[1]!Tabelle1321011121516[[#This Row],[Mean fps ]]</f>
        <v>#DIV/0!</v>
      </c>
      <c r="P11" s="17">
        <v>40</v>
      </c>
      <c r="Q11" s="20"/>
      <c r="R11" s="21"/>
      <c r="S11" s="17">
        <v>1.9419999999999999</v>
      </c>
      <c r="T11" s="17">
        <v>1.7130000000000001</v>
      </c>
      <c r="U11" s="17">
        <v>2.2810000000000001</v>
      </c>
      <c r="V11" s="17"/>
      <c r="W11" s="7">
        <f>SUM(S2:S11)/10</f>
        <v>1.9750000000000001</v>
      </c>
      <c r="X11" s="7">
        <f t="shared" ref="X11:Y11" si="0">SUM(T2:T11)/10</f>
        <v>1.7210999999999999</v>
      </c>
      <c r="Y11" s="7">
        <f t="shared" si="0"/>
        <v>2.2692999999999999</v>
      </c>
      <c r="Z11" s="17">
        <f>_xlfn.STDEV.S(S2:S11)</f>
        <v>0.10178626844739147</v>
      </c>
      <c r="AA11" s="17">
        <f>_xlfn.STDEV.S(T2:T11)</f>
        <v>0.12212966697553697</v>
      </c>
      <c r="AB11" s="17">
        <f>_xlfn.STDEV.S(U2:U11)</f>
        <v>6.8439835703419882E-2</v>
      </c>
      <c r="AC11" s="17">
        <f>Tabelle1311[[#This Row],[SD 1]]/Tabelle1311[[#This Row],[Mean Visc. 1 '[mPas']]]</f>
        <v>5.1537351112603276E-2</v>
      </c>
      <c r="AD11" s="17">
        <f>Tabelle1311[[#This Row],[SD 2]]/Tabelle1311[[#This Row],[Mean Visc. 2 '[mPas']2]]</f>
        <v>7.0960238786553359E-2</v>
      </c>
      <c r="AE11" s="17">
        <f>Tabelle1311[[#This Row],[SD 3]]/Tabelle1311[[#This Row],[Mean Visc. 3 '[mPas']3]]</f>
        <v>3.0159007492803896E-2</v>
      </c>
    </row>
    <row r="12" spans="1:31" ht="15" thickTop="1" x14ac:dyDescent="0.3">
      <c r="A12">
        <v>11</v>
      </c>
      <c r="B12" s="4"/>
      <c r="C12" s="5"/>
      <c r="D12" s="7">
        <v>2</v>
      </c>
      <c r="E12" t="s">
        <v>183</v>
      </c>
      <c r="F12" t="s">
        <v>199</v>
      </c>
      <c r="G12" s="23"/>
      <c r="H12" s="11" t="s">
        <v>198</v>
      </c>
      <c r="I12" s="9" t="s">
        <v>12</v>
      </c>
      <c r="J12" s="7">
        <v>23.2</v>
      </c>
      <c r="K12" s="7">
        <v>10</v>
      </c>
      <c r="L12" s="7">
        <v>30.48</v>
      </c>
      <c r="M12" s="7">
        <v>381</v>
      </c>
      <c r="N12" s="7" t="e">
        <f>[1]!Tabelle1321011121516[[#This Row],[Anzahl Frames]]/[1]!Tabelle1321011121516[[#This Row],[Aufnahmezeit '[s']]]</f>
        <v>#DIV/0!</v>
      </c>
      <c r="O12" s="6" t="e">
        <f>1/[1]!Tabelle1321011121516[[#This Row],[Mean fps ]]</f>
        <v>#DIV/0!</v>
      </c>
      <c r="P12" s="7">
        <v>40</v>
      </c>
      <c r="Q12" s="3"/>
      <c r="R12" s="11"/>
      <c r="S12" s="7">
        <v>1.306</v>
      </c>
      <c r="T12" s="7">
        <v>1.0149999999999999</v>
      </c>
      <c r="U12" s="7">
        <v>1.774</v>
      </c>
      <c r="V12" s="7"/>
      <c r="W12" s="7"/>
      <c r="X12" s="7"/>
      <c r="Y12" s="7"/>
      <c r="Z12" s="7"/>
      <c r="AA12" s="7"/>
      <c r="AB12" s="7"/>
      <c r="AC12" s="7" t="e">
        <f>Tabelle1311[[#This Row],[SD 1]]/Tabelle1311[[#This Row],[Mean Visc. 1 '[mPas']]]</f>
        <v>#DIV/0!</v>
      </c>
      <c r="AD12" s="7"/>
      <c r="AE12" s="7"/>
    </row>
    <row r="13" spans="1:31" x14ac:dyDescent="0.3">
      <c r="A13">
        <v>12</v>
      </c>
      <c r="B13" s="4"/>
      <c r="C13" s="5"/>
      <c r="D13" s="7">
        <v>2</v>
      </c>
      <c r="E13" t="s">
        <v>183</v>
      </c>
      <c r="F13" t="s">
        <v>199</v>
      </c>
      <c r="G13" s="23"/>
      <c r="H13" s="11" t="s">
        <v>198</v>
      </c>
      <c r="I13" s="9" t="s">
        <v>12</v>
      </c>
      <c r="J13" s="7">
        <v>23.3</v>
      </c>
      <c r="K13" s="7">
        <v>10</v>
      </c>
      <c r="L13" s="7">
        <v>32.08</v>
      </c>
      <c r="M13" s="7">
        <v>401</v>
      </c>
      <c r="N13" s="7" t="e">
        <f>[1]!Tabelle1321011121516[[#This Row],[Anzahl Frames]]/[1]!Tabelle1321011121516[[#This Row],[Aufnahmezeit '[s']]]</f>
        <v>#DIV/0!</v>
      </c>
      <c r="O13" s="6" t="e">
        <f>1/[1]!Tabelle1321011121516[[#This Row],[Mean fps ]]</f>
        <v>#DIV/0!</v>
      </c>
      <c r="P13" s="7">
        <v>40</v>
      </c>
      <c r="Q13" s="3"/>
      <c r="R13" s="11"/>
      <c r="S13" s="7">
        <v>1.4219999999999999</v>
      </c>
      <c r="T13" s="7">
        <v>1.097</v>
      </c>
      <c r="U13" s="7">
        <v>1.792</v>
      </c>
      <c r="V13" s="7"/>
      <c r="W13" s="7"/>
      <c r="X13" s="7"/>
      <c r="Y13" s="7"/>
      <c r="Z13" s="7"/>
      <c r="AA13" s="7"/>
      <c r="AB13" s="7"/>
      <c r="AC13" s="7" t="e">
        <f>Tabelle1311[[#This Row],[SD 1]]/Tabelle1311[[#This Row],[Mean Visc. 1 '[mPas']]]</f>
        <v>#DIV/0!</v>
      </c>
      <c r="AD13" s="7"/>
      <c r="AE13" s="7"/>
    </row>
    <row r="14" spans="1:31" x14ac:dyDescent="0.3">
      <c r="A14">
        <v>13</v>
      </c>
      <c r="B14" s="4"/>
      <c r="C14" s="5"/>
      <c r="D14" s="7">
        <v>2</v>
      </c>
      <c r="E14" t="s">
        <v>183</v>
      </c>
      <c r="F14" t="s">
        <v>199</v>
      </c>
      <c r="G14" s="23"/>
      <c r="H14" s="11" t="s">
        <v>198</v>
      </c>
      <c r="I14" s="9" t="s">
        <v>12</v>
      </c>
      <c r="J14" s="7">
        <v>23.3</v>
      </c>
      <c r="K14" s="7">
        <v>10</v>
      </c>
      <c r="L14" s="7">
        <v>30.64</v>
      </c>
      <c r="M14" s="7">
        <v>384</v>
      </c>
      <c r="N14" s="7" t="e">
        <f>[1]!Tabelle1321011121516[[#This Row],[Anzahl Frames]]/[1]!Tabelle1321011121516[[#This Row],[Aufnahmezeit '[s']]]</f>
        <v>#DIV/0!</v>
      </c>
      <c r="O14" s="6" t="e">
        <f>1/[1]!Tabelle1321011121516[[#This Row],[Mean fps ]]</f>
        <v>#DIV/0!</v>
      </c>
      <c r="P14" s="7">
        <v>40</v>
      </c>
      <c r="Q14" s="3"/>
      <c r="R14" s="11"/>
      <c r="S14" s="7">
        <v>1.3919999999999999</v>
      </c>
      <c r="T14" s="7">
        <v>1.129</v>
      </c>
      <c r="U14" s="7">
        <v>1.7350000000000001</v>
      </c>
      <c r="V14" s="7"/>
      <c r="W14" s="7"/>
      <c r="X14" s="7"/>
      <c r="Y14" s="7"/>
      <c r="Z14" s="7"/>
      <c r="AA14" s="7"/>
      <c r="AB14" s="7"/>
      <c r="AC14" s="7" t="e">
        <f>Tabelle1311[[#This Row],[SD 1]]/Tabelle1311[[#This Row],[Mean Visc. 1 '[mPas']]]</f>
        <v>#DIV/0!</v>
      </c>
      <c r="AD14" s="7"/>
      <c r="AE14" s="7"/>
    </row>
    <row r="15" spans="1:31" x14ac:dyDescent="0.3">
      <c r="A15">
        <v>14</v>
      </c>
      <c r="B15" s="4"/>
      <c r="C15" s="5"/>
      <c r="D15" s="7">
        <v>2</v>
      </c>
      <c r="E15" t="s">
        <v>183</v>
      </c>
      <c r="F15" t="s">
        <v>199</v>
      </c>
      <c r="G15" s="23"/>
      <c r="H15" s="11" t="s">
        <v>198</v>
      </c>
      <c r="I15" s="9" t="s">
        <v>12</v>
      </c>
      <c r="J15" s="7">
        <v>23.4</v>
      </c>
      <c r="K15" s="7">
        <v>10</v>
      </c>
      <c r="L15" s="7">
        <v>30.8</v>
      </c>
      <c r="M15" s="7">
        <v>385</v>
      </c>
      <c r="N15" s="7" t="e">
        <f>[1]!Tabelle1321011121516[[#This Row],[Anzahl Frames]]/[1]!Tabelle1321011121516[[#This Row],[Aufnahmezeit '[s']]]</f>
        <v>#DIV/0!</v>
      </c>
      <c r="O15" s="6" t="e">
        <f>1/[1]!Tabelle1321011121516[[#This Row],[Mean fps ]]</f>
        <v>#DIV/0!</v>
      </c>
      <c r="P15" s="7">
        <v>40</v>
      </c>
      <c r="Q15" s="3"/>
      <c r="R15" s="11"/>
      <c r="S15" s="7">
        <v>1.4079999999999999</v>
      </c>
      <c r="T15" s="7">
        <v>1.036</v>
      </c>
      <c r="U15" s="7">
        <v>1.7470000000000001</v>
      </c>
      <c r="V15" s="7"/>
      <c r="W15" s="7"/>
      <c r="X15" s="7"/>
      <c r="Y15" s="7"/>
      <c r="Z15" s="7"/>
      <c r="AA15" s="7"/>
      <c r="AB15" s="7"/>
      <c r="AC15" s="7" t="e">
        <f>Tabelle1311[[#This Row],[SD 1]]/Tabelle1311[[#This Row],[Mean Visc. 1 '[mPas']]]</f>
        <v>#DIV/0!</v>
      </c>
      <c r="AD15" s="7"/>
      <c r="AE15" s="7"/>
    </row>
    <row r="16" spans="1:31" s="14" customFormat="1" ht="15" thickBot="1" x14ac:dyDescent="0.35">
      <c r="A16">
        <v>15</v>
      </c>
      <c r="B16" s="4"/>
      <c r="C16" s="5"/>
      <c r="D16" s="7">
        <v>2</v>
      </c>
      <c r="E16" t="s">
        <v>183</v>
      </c>
      <c r="F16" t="s">
        <v>199</v>
      </c>
      <c r="G16" s="23"/>
      <c r="H16" s="11" t="s">
        <v>198</v>
      </c>
      <c r="I16" s="9" t="s">
        <v>12</v>
      </c>
      <c r="J16" s="7">
        <v>23.5</v>
      </c>
      <c r="K16" s="7">
        <v>10</v>
      </c>
      <c r="L16" s="7">
        <v>30.56</v>
      </c>
      <c r="M16" s="7">
        <v>382</v>
      </c>
      <c r="N16" s="7" t="e">
        <f>[1]!Tabelle1321011121516[[#This Row],[Anzahl Frames]]/[1]!Tabelle1321011121516[[#This Row],[Aufnahmezeit '[s']]]</f>
        <v>#DIV/0!</v>
      </c>
      <c r="O16" s="6" t="e">
        <f>1/[1]!Tabelle1321011121516[[#This Row],[Mean fps ]]</f>
        <v>#DIV/0!</v>
      </c>
      <c r="P16" s="7">
        <v>40</v>
      </c>
      <c r="Q16" s="3"/>
      <c r="R16" s="11"/>
      <c r="S16" s="7">
        <v>1.296</v>
      </c>
      <c r="T16" s="7">
        <v>1</v>
      </c>
      <c r="U16" s="7">
        <v>1.609</v>
      </c>
      <c r="V16" s="7"/>
      <c r="W16" s="7"/>
      <c r="X16" s="7"/>
      <c r="Y16" s="7"/>
      <c r="Z16" s="7"/>
      <c r="AA16" s="7"/>
      <c r="AB16" s="7"/>
      <c r="AC16" s="7" t="e">
        <f>Tabelle1311[[#This Row],[SD 1]]/Tabelle1311[[#This Row],[Mean Visc. 1 '[mPas']]]</f>
        <v>#DIV/0!</v>
      </c>
      <c r="AD16" s="7"/>
      <c r="AE16" s="7"/>
    </row>
    <row r="17" spans="1:31" ht="15" thickTop="1" x14ac:dyDescent="0.3">
      <c r="A17">
        <v>16</v>
      </c>
      <c r="B17" s="4"/>
      <c r="C17" s="5"/>
      <c r="D17" s="7">
        <v>2</v>
      </c>
      <c r="E17" t="s">
        <v>183</v>
      </c>
      <c r="F17" t="s">
        <v>199</v>
      </c>
      <c r="G17" s="23"/>
      <c r="H17" s="11" t="s">
        <v>198</v>
      </c>
      <c r="I17" s="9" t="s">
        <v>12</v>
      </c>
      <c r="J17" s="7">
        <v>23.6</v>
      </c>
      <c r="K17" s="7">
        <v>10</v>
      </c>
      <c r="L17" s="7">
        <v>31.76</v>
      </c>
      <c r="M17" s="7">
        <v>397</v>
      </c>
      <c r="N17" s="7" t="e">
        <f>[1]!Tabelle1321011121516[[#This Row],[Anzahl Frames]]/[1]!Tabelle1321011121516[[#This Row],[Aufnahmezeit '[s']]]</f>
        <v>#DIV/0!</v>
      </c>
      <c r="O17" s="6" t="e">
        <f>1/[1]!Tabelle1321011121516[[#This Row],[Mean fps ]]</f>
        <v>#DIV/0!</v>
      </c>
      <c r="P17" s="7">
        <v>40</v>
      </c>
      <c r="Q17" s="3"/>
      <c r="R17" s="11"/>
      <c r="S17" s="7">
        <v>1.421</v>
      </c>
      <c r="T17" s="7">
        <v>1.141</v>
      </c>
      <c r="U17" s="7">
        <v>1.7649999999999999</v>
      </c>
      <c r="V17" s="7"/>
      <c r="W17" s="7"/>
      <c r="X17" s="7"/>
      <c r="Y17" s="7"/>
      <c r="Z17" s="7"/>
      <c r="AA17" s="7"/>
      <c r="AB17" s="7"/>
      <c r="AC17" s="7" t="e">
        <f>Tabelle1311[[#This Row],[SD 1]]/Tabelle1311[[#This Row],[Mean Visc. 1 '[mPas']]]</f>
        <v>#DIV/0!</v>
      </c>
      <c r="AD17" s="7"/>
      <c r="AE17" s="7"/>
    </row>
    <row r="18" spans="1:31" x14ac:dyDescent="0.3">
      <c r="A18">
        <v>17</v>
      </c>
      <c r="B18" s="4"/>
      <c r="C18" s="5"/>
      <c r="D18" s="7">
        <v>2</v>
      </c>
      <c r="E18" t="s">
        <v>183</v>
      </c>
      <c r="F18" t="s">
        <v>199</v>
      </c>
      <c r="G18" s="23"/>
      <c r="H18" s="11" t="s">
        <v>198</v>
      </c>
      <c r="I18" s="9" t="s">
        <v>12</v>
      </c>
      <c r="J18" s="7">
        <v>23.7</v>
      </c>
      <c r="K18" s="7">
        <v>10</v>
      </c>
      <c r="L18" s="7">
        <v>32</v>
      </c>
      <c r="M18" s="7">
        <v>401</v>
      </c>
      <c r="N18" s="7" t="e">
        <f>[1]!Tabelle1321011121516[[#This Row],[Anzahl Frames]]/[1]!Tabelle1321011121516[[#This Row],[Aufnahmezeit '[s']]]</f>
        <v>#DIV/0!</v>
      </c>
      <c r="O18" s="6" t="e">
        <f>1/[1]!Tabelle1321011121516[[#This Row],[Mean fps ]]</f>
        <v>#DIV/0!</v>
      </c>
      <c r="P18" s="7">
        <v>40</v>
      </c>
      <c r="Q18" s="3"/>
      <c r="R18" s="11"/>
      <c r="S18" s="7">
        <v>1.105</v>
      </c>
      <c r="T18" s="7">
        <v>0.93300000000000005</v>
      </c>
      <c r="U18" s="7">
        <v>1.504</v>
      </c>
      <c r="V18" s="7"/>
      <c r="W18" s="7"/>
      <c r="X18" s="7"/>
      <c r="Y18" s="7"/>
      <c r="Z18" s="7"/>
      <c r="AA18" s="7"/>
      <c r="AB18" s="7"/>
      <c r="AC18" s="7" t="e">
        <f>Tabelle1311[[#This Row],[SD 1]]/Tabelle1311[[#This Row],[Mean Visc. 1 '[mPas']]]</f>
        <v>#DIV/0!</v>
      </c>
      <c r="AD18" s="7"/>
      <c r="AE18" s="7"/>
    </row>
    <row r="19" spans="1:31" x14ac:dyDescent="0.3">
      <c r="A19">
        <v>18</v>
      </c>
      <c r="B19" s="4"/>
      <c r="C19" s="5"/>
      <c r="D19" s="7">
        <v>2</v>
      </c>
      <c r="E19" t="s">
        <v>183</v>
      </c>
      <c r="F19" t="s">
        <v>199</v>
      </c>
      <c r="G19" s="23"/>
      <c r="H19" s="11" t="s">
        <v>198</v>
      </c>
      <c r="I19" s="9" t="s">
        <v>12</v>
      </c>
      <c r="J19" s="7">
        <v>23.7</v>
      </c>
      <c r="K19" s="7">
        <v>10</v>
      </c>
      <c r="L19" s="7">
        <v>31.52</v>
      </c>
      <c r="M19" s="7">
        <v>394</v>
      </c>
      <c r="N19" s="7" t="e">
        <f>[1]!Tabelle1321011121516[[#This Row],[Anzahl Frames]]/[1]!Tabelle1321011121516[[#This Row],[Aufnahmezeit '[s']]]</f>
        <v>#DIV/0!</v>
      </c>
      <c r="O19" s="6" t="e">
        <f>1/[1]!Tabelle1321011121516[[#This Row],[Mean fps ]]</f>
        <v>#DIV/0!</v>
      </c>
      <c r="P19" s="7">
        <v>40</v>
      </c>
      <c r="Q19" s="3"/>
      <c r="R19" s="11"/>
      <c r="S19" s="7">
        <v>1.3540000000000001</v>
      </c>
      <c r="T19" s="7">
        <v>1.089</v>
      </c>
      <c r="U19" s="7">
        <v>1.665</v>
      </c>
      <c r="V19" s="7"/>
      <c r="W19" s="7"/>
      <c r="X19" s="7"/>
      <c r="Y19" s="7"/>
      <c r="Z19" s="7"/>
      <c r="AA19" s="7"/>
      <c r="AB19" s="7"/>
      <c r="AC19" s="7" t="e">
        <f>Tabelle1311[[#This Row],[SD 1]]/Tabelle1311[[#This Row],[Mean Visc. 1 '[mPas']]]</f>
        <v>#DIV/0!</v>
      </c>
      <c r="AD19" s="7"/>
      <c r="AE19" s="7"/>
    </row>
    <row r="20" spans="1:31" x14ac:dyDescent="0.3">
      <c r="A20">
        <v>19</v>
      </c>
      <c r="B20" s="4"/>
      <c r="C20" s="5"/>
      <c r="D20" s="7">
        <v>2</v>
      </c>
      <c r="E20" t="s">
        <v>183</v>
      </c>
      <c r="F20" t="s">
        <v>199</v>
      </c>
      <c r="G20" s="23"/>
      <c r="H20" s="11" t="s">
        <v>198</v>
      </c>
      <c r="I20" s="9" t="s">
        <v>12</v>
      </c>
      <c r="J20" s="7">
        <v>23.8</v>
      </c>
      <c r="K20" s="7">
        <v>10</v>
      </c>
      <c r="L20" s="7">
        <v>30.88</v>
      </c>
      <c r="M20" s="7">
        <v>386</v>
      </c>
      <c r="N20" s="7" t="e">
        <f>[1]!Tabelle1321011121516[[#This Row],[Anzahl Frames]]/[1]!Tabelle1321011121516[[#This Row],[Aufnahmezeit '[s']]]</f>
        <v>#DIV/0!</v>
      </c>
      <c r="O20" s="6" t="e">
        <f>1/[1]!Tabelle1321011121516[[#This Row],[Mean fps ]]</f>
        <v>#DIV/0!</v>
      </c>
      <c r="P20" s="7">
        <v>40</v>
      </c>
      <c r="Q20" s="3"/>
      <c r="R20" s="11"/>
      <c r="S20" s="7">
        <v>1.2889999999999999</v>
      </c>
      <c r="T20" s="7">
        <v>1.0169999999999999</v>
      </c>
      <c r="U20" s="7">
        <v>1.69</v>
      </c>
      <c r="V20" s="7"/>
      <c r="W20" s="7"/>
      <c r="X20" s="7"/>
      <c r="Y20" s="7"/>
      <c r="Z20" s="7"/>
      <c r="AA20" s="7"/>
      <c r="AB20" s="7"/>
      <c r="AC20" s="7" t="e">
        <f>Tabelle1311[[#This Row],[SD 1]]/Tabelle1311[[#This Row],[Mean Visc. 1 '[mPas']]]</f>
        <v>#DIV/0!</v>
      </c>
      <c r="AD20" s="7"/>
      <c r="AE20" s="7"/>
    </row>
    <row r="21" spans="1:31" s="14" customFormat="1" ht="15" thickBot="1" x14ac:dyDescent="0.35">
      <c r="A21">
        <v>20</v>
      </c>
      <c r="B21" s="15"/>
      <c r="C21" s="16"/>
      <c r="D21" s="17">
        <v>2</v>
      </c>
      <c r="E21" s="14" t="s">
        <v>183</v>
      </c>
      <c r="F21" s="14" t="s">
        <v>199</v>
      </c>
      <c r="G21" s="24"/>
      <c r="H21" s="21" t="s">
        <v>198</v>
      </c>
      <c r="I21" s="9" t="s">
        <v>12</v>
      </c>
      <c r="J21" s="17">
        <v>23.9</v>
      </c>
      <c r="K21" s="17">
        <v>10</v>
      </c>
      <c r="L21" s="17">
        <v>30.47</v>
      </c>
      <c r="M21" s="17">
        <v>381</v>
      </c>
      <c r="N21" s="17" t="e">
        <f>[1]!Tabelle1321011121516[[#This Row],[Anzahl Frames]]/[1]!Tabelle1321011121516[[#This Row],[Aufnahmezeit '[s']]]</f>
        <v>#DIV/0!</v>
      </c>
      <c r="O21" s="25" t="e">
        <f>1/[1]!Tabelle1321011121516[[#This Row],[Mean fps ]]</f>
        <v>#DIV/0!</v>
      </c>
      <c r="P21" s="17">
        <v>40</v>
      </c>
      <c r="Q21" s="20"/>
      <c r="R21" s="21"/>
      <c r="S21" s="17">
        <v>1.325</v>
      </c>
      <c r="T21" s="17">
        <v>1.216</v>
      </c>
      <c r="U21" s="17">
        <v>1.6930000000000001</v>
      </c>
      <c r="V21" s="17"/>
      <c r="W21" s="7">
        <f>SUM(S12:S21)/10</f>
        <v>1.3317999999999999</v>
      </c>
      <c r="X21" s="7">
        <f t="shared" ref="X21:Y21" si="1">SUM(T12:T21)/10</f>
        <v>1.0672999999999999</v>
      </c>
      <c r="Y21" s="7">
        <f t="shared" si="1"/>
        <v>1.6974</v>
      </c>
      <c r="Z21" s="17">
        <f>_xlfn.STDEV.S(S12:S21)</f>
        <v>9.5031924460502556E-2</v>
      </c>
      <c r="AA21" s="17">
        <f>_xlfn.STDEV.S(T12:T21)</f>
        <v>8.2673454022436962E-2</v>
      </c>
      <c r="AB21" s="17">
        <f>_xlfn.STDEV.S(U12:U21)</f>
        <v>8.7940889238169534E-2</v>
      </c>
      <c r="AC21" s="17">
        <f>Tabelle1311[[#This Row],[SD 1]]/Tabelle1311[[#This Row],[Mean Visc. 1 '[mPas']]]</f>
        <v>7.1356002748537747E-2</v>
      </c>
      <c r="AD21" s="17">
        <f>Tabelle1311[[#This Row],[SD 2]]/Tabelle1311[[#This Row],[Mean Visc. 2 '[mPas']2]]</f>
        <v>7.7460371050723287E-2</v>
      </c>
      <c r="AE21" s="17">
        <f>Tabelle1311[[#This Row],[SD 3]]/Tabelle1311[[#This Row],[Mean Visc. 3 '[mPas']3]]</f>
        <v>5.180917240377609E-2</v>
      </c>
    </row>
    <row r="22" spans="1:31" s="7" customFormat="1" ht="15" thickTop="1" x14ac:dyDescent="0.3">
      <c r="A22">
        <v>21</v>
      </c>
      <c r="B22" s="4"/>
      <c r="C22" s="5"/>
      <c r="D22" s="7">
        <v>3</v>
      </c>
      <c r="E22" t="s">
        <v>182</v>
      </c>
      <c r="F22" t="s">
        <v>192</v>
      </c>
      <c r="G22" s="23"/>
      <c r="H22" s="11" t="s">
        <v>198</v>
      </c>
      <c r="I22" s="9" t="s">
        <v>12</v>
      </c>
      <c r="J22" s="7">
        <v>24.7</v>
      </c>
      <c r="K22" s="7">
        <v>22</v>
      </c>
      <c r="L22" s="7">
        <v>30.48</v>
      </c>
      <c r="M22" s="7">
        <v>381</v>
      </c>
      <c r="N22" s="7" t="e">
        <f>[1]!Tabelle1321011121516[[#This Row],[Anzahl Frames]]/[1]!Tabelle1321011121516[[#This Row],[Aufnahmezeit '[s']]]</f>
        <v>#DIV/0!</v>
      </c>
      <c r="O22" s="6" t="e">
        <f>1/[1]!Tabelle1321011121516[[#This Row],[Mean fps ]]</f>
        <v>#DIV/0!</v>
      </c>
      <c r="P22" s="7">
        <v>40</v>
      </c>
      <c r="Q22" s="3"/>
      <c r="R22" s="11"/>
      <c r="S22" s="7">
        <v>1.17</v>
      </c>
      <c r="T22" s="7">
        <v>0.93799999999999994</v>
      </c>
      <c r="U22" s="7">
        <v>1.4450000000000001</v>
      </c>
      <c r="AC22" s="7" t="e">
        <f>Tabelle1311[[#This Row],[SD 1]]/Tabelle1311[[#This Row],[Mean Visc. 1 '[mPas']]]</f>
        <v>#DIV/0!</v>
      </c>
      <c r="AD22" s="7" t="e">
        <f>[1]!Tabelle134[[#This Row],[SD 2]]/[1]!Tabelle134[[#This Row],[Mean Visc. 2 '[mPas']2]]</f>
        <v>#DIV/0!</v>
      </c>
      <c r="AE22" s="7" t="e">
        <f>[1]!Tabelle134[[#This Row],[Sd 3]]/[1]!Tabelle134[[#This Row],[Mean Visc. 3 '[mPas']3]]</f>
        <v>#DIV/0!</v>
      </c>
    </row>
    <row r="23" spans="1:31" s="7" customFormat="1" x14ac:dyDescent="0.3">
      <c r="A23">
        <v>22</v>
      </c>
      <c r="B23" s="4"/>
      <c r="C23" s="5"/>
      <c r="D23" s="7">
        <v>3</v>
      </c>
      <c r="E23" t="s">
        <v>182</v>
      </c>
      <c r="F23" t="s">
        <v>192</v>
      </c>
      <c r="G23" s="23"/>
      <c r="H23" s="11" t="s">
        <v>198</v>
      </c>
      <c r="I23" s="9" t="s">
        <v>12</v>
      </c>
      <c r="J23" s="7">
        <v>24.8</v>
      </c>
      <c r="K23" s="7">
        <v>22</v>
      </c>
      <c r="L23" s="7">
        <v>30.67</v>
      </c>
      <c r="M23" s="7">
        <v>382</v>
      </c>
      <c r="N23" s="7" t="e">
        <f>[1]!Tabelle1321011121516[[#This Row],[Anzahl Frames]]/[1]!Tabelle1321011121516[[#This Row],[Aufnahmezeit '[s']]]</f>
        <v>#DIV/0!</v>
      </c>
      <c r="O23" s="6" t="e">
        <f>1/[1]!Tabelle1321011121516[[#This Row],[Mean fps ]]</f>
        <v>#DIV/0!</v>
      </c>
      <c r="P23" s="7">
        <v>40</v>
      </c>
      <c r="Q23" s="3"/>
      <c r="R23" s="11"/>
      <c r="S23" s="7">
        <v>1.3260000000000001</v>
      </c>
      <c r="T23" s="7">
        <v>1.03</v>
      </c>
      <c r="U23" s="7">
        <v>1.5029999999999999</v>
      </c>
      <c r="AC23" s="7" t="e">
        <f>Tabelle1311[[#This Row],[SD 1]]/Tabelle1311[[#This Row],[Mean Visc. 1 '[mPas']]]</f>
        <v>#DIV/0!</v>
      </c>
      <c r="AD23" s="7" t="e">
        <f>[1]!Tabelle134[[#This Row],[SD 2]]/[1]!Tabelle134[[#This Row],[Mean Visc. 2 '[mPas']2]]</f>
        <v>#DIV/0!</v>
      </c>
      <c r="AE23" s="7" t="e">
        <f>[1]!Tabelle134[[#This Row],[Sd 3]]/[1]!Tabelle134[[#This Row],[Mean Visc. 3 '[mPas']3]]</f>
        <v>#DIV/0!</v>
      </c>
    </row>
    <row r="24" spans="1:31" s="7" customFormat="1" x14ac:dyDescent="0.3">
      <c r="A24">
        <v>23</v>
      </c>
      <c r="B24" s="4"/>
      <c r="C24" s="5"/>
      <c r="D24" s="7">
        <v>3</v>
      </c>
      <c r="E24" t="s">
        <v>182</v>
      </c>
      <c r="F24" t="s">
        <v>192</v>
      </c>
      <c r="G24" s="23"/>
      <c r="H24" s="11" t="s">
        <v>198</v>
      </c>
      <c r="I24" s="9" t="s">
        <v>12</v>
      </c>
      <c r="J24" s="7">
        <v>24.9</v>
      </c>
      <c r="K24" s="7">
        <v>22</v>
      </c>
      <c r="L24" s="7">
        <v>30.88</v>
      </c>
      <c r="M24" s="7">
        <v>386</v>
      </c>
      <c r="N24" s="7" t="e">
        <f>[1]!Tabelle1321011121516[[#This Row],[Anzahl Frames]]/[1]!Tabelle1321011121516[[#This Row],[Aufnahmezeit '[s']]]</f>
        <v>#DIV/0!</v>
      </c>
      <c r="O24" s="6" t="e">
        <f>1/[1]!Tabelle1321011121516[[#This Row],[Mean fps ]]</f>
        <v>#DIV/0!</v>
      </c>
      <c r="P24" s="7">
        <v>40</v>
      </c>
      <c r="Q24" s="3"/>
      <c r="R24" s="11"/>
      <c r="S24" s="7">
        <v>1.2010000000000001</v>
      </c>
      <c r="T24" s="7">
        <v>1.04</v>
      </c>
      <c r="U24" s="7">
        <v>1.5029999999999999</v>
      </c>
      <c r="AC24" s="7" t="e">
        <f>Tabelle1311[[#This Row],[SD 1]]/Tabelle1311[[#This Row],[Mean Visc. 1 '[mPas']]]</f>
        <v>#DIV/0!</v>
      </c>
      <c r="AD24" s="7" t="e">
        <f>[1]!Tabelle134[[#This Row],[SD 2]]/[1]!Tabelle134[[#This Row],[Mean Visc. 2 '[mPas']2]]</f>
        <v>#DIV/0!</v>
      </c>
      <c r="AE24" s="7" t="e">
        <f>[1]!Tabelle134[[#This Row],[Sd 3]]/[1]!Tabelle134[[#This Row],[Mean Visc. 3 '[mPas']3]]</f>
        <v>#DIV/0!</v>
      </c>
    </row>
    <row r="25" spans="1:31" s="7" customFormat="1" x14ac:dyDescent="0.3">
      <c r="A25">
        <v>24</v>
      </c>
      <c r="B25" s="4"/>
      <c r="C25" s="5"/>
      <c r="D25" s="7">
        <v>3</v>
      </c>
      <c r="E25" t="s">
        <v>182</v>
      </c>
      <c r="F25" t="s">
        <v>192</v>
      </c>
      <c r="G25" s="23"/>
      <c r="H25" s="11" t="s">
        <v>198</v>
      </c>
      <c r="I25" s="9" t="s">
        <v>12</v>
      </c>
      <c r="J25" s="7">
        <v>24.9</v>
      </c>
      <c r="K25" s="7">
        <v>22</v>
      </c>
      <c r="L25" s="7">
        <v>29.98</v>
      </c>
      <c r="M25" s="7">
        <v>375</v>
      </c>
      <c r="N25" s="7" t="e">
        <f>[1]!Tabelle1321011121516[[#This Row],[Anzahl Frames]]/[1]!Tabelle1321011121516[[#This Row],[Aufnahmezeit '[s']]]</f>
        <v>#DIV/0!</v>
      </c>
      <c r="O25" s="6" t="e">
        <f>1/[1]!Tabelle1321011121516[[#This Row],[Mean fps ]]</f>
        <v>#DIV/0!</v>
      </c>
      <c r="P25" s="7">
        <v>40</v>
      </c>
      <c r="Q25" s="3"/>
      <c r="R25" s="11"/>
      <c r="S25" s="7">
        <v>1.327</v>
      </c>
      <c r="T25" s="7">
        <v>1.036</v>
      </c>
      <c r="U25" s="7">
        <v>1.758</v>
      </c>
      <c r="AC25" s="7" t="e">
        <f>Tabelle1311[[#This Row],[SD 1]]/Tabelle1311[[#This Row],[Mean Visc. 1 '[mPas']]]</f>
        <v>#DIV/0!</v>
      </c>
      <c r="AD25" s="7" t="e">
        <f>[1]!Tabelle134[[#This Row],[SD 2]]/[1]!Tabelle134[[#This Row],[Mean Visc. 2 '[mPas']2]]</f>
        <v>#DIV/0!</v>
      </c>
      <c r="AE25" s="7" t="e">
        <f>[1]!Tabelle134[[#This Row],[Sd 3]]/[1]!Tabelle134[[#This Row],[Mean Visc. 3 '[mPas']3]]</f>
        <v>#DIV/0!</v>
      </c>
    </row>
    <row r="26" spans="1:31" s="17" customFormat="1" ht="15" thickBot="1" x14ac:dyDescent="0.35">
      <c r="A26">
        <v>25</v>
      </c>
      <c r="B26" s="4"/>
      <c r="C26" s="16"/>
      <c r="D26" s="17">
        <v>3</v>
      </c>
      <c r="E26" t="s">
        <v>182</v>
      </c>
      <c r="F26" t="s">
        <v>192</v>
      </c>
      <c r="G26" s="24"/>
      <c r="H26" s="21" t="s">
        <v>198</v>
      </c>
      <c r="I26" s="9" t="s">
        <v>12</v>
      </c>
      <c r="J26" s="17">
        <v>25</v>
      </c>
      <c r="K26" s="17">
        <v>22</v>
      </c>
      <c r="L26" s="17">
        <v>31.92</v>
      </c>
      <c r="M26" s="17">
        <v>399</v>
      </c>
      <c r="N26" s="17" t="e">
        <f>[1]!Tabelle1321011121516[[#This Row],[Anzahl Frames]]/[1]!Tabelle1321011121516[[#This Row],[Aufnahmezeit '[s']]]</f>
        <v>#DIV/0!</v>
      </c>
      <c r="O26" s="25" t="e">
        <f>1/[1]!Tabelle1321011121516[[#This Row],[Mean fps ]]</f>
        <v>#DIV/0!</v>
      </c>
      <c r="P26" s="17">
        <v>40</v>
      </c>
      <c r="Q26" s="20"/>
      <c r="R26" s="21"/>
      <c r="S26" s="17">
        <v>1.133</v>
      </c>
      <c r="T26" s="17">
        <v>1.0489999999999999</v>
      </c>
      <c r="U26" s="17">
        <v>1.5740000000000001</v>
      </c>
      <c r="AC26" s="17" t="e">
        <f>Tabelle1311[[#This Row],[SD 1]]/Tabelle1311[[#This Row],[Mean Visc. 1 '[mPas']]]</f>
        <v>#DIV/0!</v>
      </c>
      <c r="AD26" s="17" t="e">
        <f>[1]!Tabelle134[[#This Row],[SD 2]]/[1]!Tabelle134[[#This Row],[Mean Visc. 2 '[mPas']2]]</f>
        <v>#DIV/0!</v>
      </c>
      <c r="AE26" s="17" t="e">
        <f>[1]!Tabelle134[[#This Row],[Sd 3]]/[1]!Tabelle134[[#This Row],[Mean Visc. 3 '[mPas']3]]</f>
        <v>#DIV/0!</v>
      </c>
    </row>
    <row r="27" spans="1:31" s="7" customFormat="1" ht="15" thickTop="1" x14ac:dyDescent="0.3">
      <c r="A27">
        <v>26</v>
      </c>
      <c r="B27" s="4"/>
      <c r="C27" s="5"/>
      <c r="D27" s="7">
        <v>3</v>
      </c>
      <c r="E27" t="s">
        <v>182</v>
      </c>
      <c r="F27" t="s">
        <v>192</v>
      </c>
      <c r="G27" s="23"/>
      <c r="H27" s="11" t="s">
        <v>198</v>
      </c>
      <c r="I27" s="9" t="s">
        <v>12</v>
      </c>
      <c r="J27" s="7">
        <v>25.1</v>
      </c>
      <c r="K27" s="7">
        <v>19</v>
      </c>
      <c r="L27" s="7">
        <v>30.06</v>
      </c>
      <c r="M27" s="7">
        <v>376</v>
      </c>
      <c r="N27" s="7" t="e">
        <f>[1]!Tabelle1321011121516[[#This Row],[Anzahl Frames]]/[1]!Tabelle1321011121516[[#This Row],[Aufnahmezeit '[s']]]</f>
        <v>#DIV/0!</v>
      </c>
      <c r="O27" s="6" t="e">
        <f>1/[1]!Tabelle1321011121516[[#This Row],[Mean fps ]]</f>
        <v>#DIV/0!</v>
      </c>
      <c r="P27" s="7">
        <v>40</v>
      </c>
      <c r="Q27" s="3"/>
      <c r="R27" s="11"/>
      <c r="S27" s="7">
        <v>1.3680000000000001</v>
      </c>
      <c r="T27" s="7">
        <v>1.0880000000000001</v>
      </c>
      <c r="U27" s="7">
        <v>1.6950000000000001</v>
      </c>
      <c r="AC27" s="7" t="e">
        <f>Tabelle1311[[#This Row],[SD 1]]/Tabelle1311[[#This Row],[Mean Visc. 1 '[mPas']]]</f>
        <v>#DIV/0!</v>
      </c>
      <c r="AD27" s="7" t="e">
        <f>[1]!Tabelle134[[#This Row],[SD 2]]/[1]!Tabelle134[[#This Row],[Mean Visc. 2 '[mPas']2]]</f>
        <v>#DIV/0!</v>
      </c>
      <c r="AE27" s="7" t="e">
        <f>[1]!Tabelle134[[#This Row],[Sd 3]]/[1]!Tabelle134[[#This Row],[Mean Visc. 3 '[mPas']3]]</f>
        <v>#DIV/0!</v>
      </c>
    </row>
    <row r="28" spans="1:31" s="7" customFormat="1" x14ac:dyDescent="0.3">
      <c r="A28">
        <v>27</v>
      </c>
      <c r="B28" s="4"/>
      <c r="C28" s="5"/>
      <c r="D28" s="7">
        <v>3</v>
      </c>
      <c r="E28" t="s">
        <v>182</v>
      </c>
      <c r="F28" t="s">
        <v>192</v>
      </c>
      <c r="G28" s="23"/>
      <c r="H28" s="11" t="s">
        <v>198</v>
      </c>
      <c r="I28" s="9" t="s">
        <v>12</v>
      </c>
      <c r="J28" s="7">
        <v>25.1</v>
      </c>
      <c r="K28" s="7">
        <v>19</v>
      </c>
      <c r="L28" s="7">
        <v>30.14</v>
      </c>
      <c r="M28" s="7">
        <v>377</v>
      </c>
      <c r="N28" s="7" t="e">
        <f>[1]!Tabelle1321011121516[[#This Row],[Anzahl Frames]]/[1]!Tabelle1321011121516[[#This Row],[Aufnahmezeit '[s']]]</f>
        <v>#DIV/0!</v>
      </c>
      <c r="O28" s="6" t="e">
        <f>1/[1]!Tabelle1321011121516[[#This Row],[Mean fps ]]</f>
        <v>#DIV/0!</v>
      </c>
      <c r="P28" s="7">
        <v>40</v>
      </c>
      <c r="Q28" s="3"/>
      <c r="R28" s="11"/>
      <c r="S28" s="7">
        <v>1.1459999999999999</v>
      </c>
      <c r="T28" s="7">
        <v>1.038</v>
      </c>
      <c r="U28" s="7">
        <v>1.5720000000000001</v>
      </c>
      <c r="AC28" s="7" t="e">
        <f>Tabelle1311[[#This Row],[SD 1]]/Tabelle1311[[#This Row],[Mean Visc. 1 '[mPas']]]</f>
        <v>#DIV/0!</v>
      </c>
      <c r="AD28" s="7" t="e">
        <f>[1]!Tabelle134[[#This Row],[SD 2]]/[1]!Tabelle134[[#This Row],[Mean Visc. 2 '[mPas']2]]</f>
        <v>#DIV/0!</v>
      </c>
      <c r="AE28" s="7" t="e">
        <f>[1]!Tabelle134[[#This Row],[Sd 3]]/[1]!Tabelle134[[#This Row],[Mean Visc. 3 '[mPas']3]]</f>
        <v>#DIV/0!</v>
      </c>
    </row>
    <row r="29" spans="1:31" s="7" customFormat="1" x14ac:dyDescent="0.3">
      <c r="A29">
        <v>28</v>
      </c>
      <c r="B29" s="4"/>
      <c r="C29" s="5"/>
      <c r="D29" s="7">
        <v>3</v>
      </c>
      <c r="E29" t="s">
        <v>182</v>
      </c>
      <c r="F29" t="s">
        <v>192</v>
      </c>
      <c r="G29" s="23"/>
      <c r="H29" s="11" t="s">
        <v>198</v>
      </c>
      <c r="I29" s="9" t="s">
        <v>12</v>
      </c>
      <c r="J29" s="7">
        <v>25.2</v>
      </c>
      <c r="K29" s="7">
        <v>16</v>
      </c>
      <c r="L29" s="7">
        <v>31.52</v>
      </c>
      <c r="M29" s="7">
        <v>394</v>
      </c>
      <c r="N29" s="7" t="e">
        <f>[1]!Tabelle1321011121516[[#This Row],[Anzahl Frames]]/[1]!Tabelle1321011121516[[#This Row],[Aufnahmezeit '[s']]]</f>
        <v>#DIV/0!</v>
      </c>
      <c r="O29" s="6" t="e">
        <f>1/[1]!Tabelle1321011121516[[#This Row],[Mean fps ]]</f>
        <v>#DIV/0!</v>
      </c>
      <c r="P29" s="7">
        <v>40</v>
      </c>
      <c r="Q29" s="3"/>
      <c r="R29" s="11"/>
      <c r="S29" s="7">
        <v>1.07</v>
      </c>
      <c r="T29" s="7">
        <v>0.95799999999999996</v>
      </c>
      <c r="U29" s="7">
        <v>1.552</v>
      </c>
      <c r="AC29" s="7" t="e">
        <f>Tabelle1311[[#This Row],[SD 1]]/Tabelle1311[[#This Row],[Mean Visc. 1 '[mPas']]]</f>
        <v>#DIV/0!</v>
      </c>
      <c r="AD29" s="7" t="e">
        <f>[1]!Tabelle134[[#This Row],[SD 2]]/[1]!Tabelle134[[#This Row],[Mean Visc. 2 '[mPas']2]]</f>
        <v>#DIV/0!</v>
      </c>
      <c r="AE29" s="7" t="e">
        <f>[1]!Tabelle134[[#This Row],[Sd 3]]/[1]!Tabelle134[[#This Row],[Mean Visc. 3 '[mPas']3]]</f>
        <v>#DIV/0!</v>
      </c>
    </row>
    <row r="30" spans="1:31" s="7" customFormat="1" x14ac:dyDescent="0.3">
      <c r="A30">
        <v>29</v>
      </c>
      <c r="B30" s="4"/>
      <c r="C30" s="5"/>
      <c r="D30" s="7">
        <v>3</v>
      </c>
      <c r="E30" t="s">
        <v>182</v>
      </c>
      <c r="F30" t="s">
        <v>192</v>
      </c>
      <c r="G30" s="23"/>
      <c r="H30" s="11" t="s">
        <v>198</v>
      </c>
      <c r="I30" s="9" t="s">
        <v>12</v>
      </c>
      <c r="J30" s="7">
        <v>25.2</v>
      </c>
      <c r="K30" s="7">
        <v>16</v>
      </c>
      <c r="L30" s="7">
        <v>32.4</v>
      </c>
      <c r="M30" s="7">
        <v>405</v>
      </c>
      <c r="N30" s="7" t="e">
        <f>[1]!Tabelle1321011121516[[#This Row],[Anzahl Frames]]/[1]!Tabelle1321011121516[[#This Row],[Aufnahmezeit '[s']]]</f>
        <v>#DIV/0!</v>
      </c>
      <c r="O30" s="6" t="e">
        <f>1/[1]!Tabelle1321011121516[[#This Row],[Mean fps ]]</f>
        <v>#DIV/0!</v>
      </c>
      <c r="P30" s="7">
        <v>40</v>
      </c>
      <c r="Q30" s="3"/>
      <c r="R30" s="11"/>
      <c r="S30" s="7">
        <v>1.175</v>
      </c>
      <c r="T30" s="7">
        <v>1.02</v>
      </c>
      <c r="U30" s="7">
        <v>1.706</v>
      </c>
      <c r="AC30" s="7" t="e">
        <f>Tabelle1311[[#This Row],[SD 1]]/Tabelle1311[[#This Row],[Mean Visc. 1 '[mPas']]]</f>
        <v>#DIV/0!</v>
      </c>
      <c r="AD30" s="7" t="e">
        <f>[1]!Tabelle134[[#This Row],[SD 2]]/[1]!Tabelle134[[#This Row],[Mean Visc. 2 '[mPas']2]]</f>
        <v>#DIV/0!</v>
      </c>
      <c r="AE30" s="7" t="e">
        <f>[1]!Tabelle134[[#This Row],[Sd 3]]/[1]!Tabelle134[[#This Row],[Mean Visc. 3 '[mPas']3]]</f>
        <v>#DIV/0!</v>
      </c>
    </row>
    <row r="31" spans="1:31" s="17" customFormat="1" ht="15" thickBot="1" x14ac:dyDescent="0.35">
      <c r="A31">
        <v>30</v>
      </c>
      <c r="B31" s="15"/>
      <c r="C31" s="16"/>
      <c r="D31" s="17">
        <v>3</v>
      </c>
      <c r="E31" t="s">
        <v>182</v>
      </c>
      <c r="F31" t="s">
        <v>192</v>
      </c>
      <c r="G31" s="24"/>
      <c r="H31" s="21" t="s">
        <v>198</v>
      </c>
      <c r="I31" s="9" t="s">
        <v>12</v>
      </c>
      <c r="J31" s="17">
        <v>25.2</v>
      </c>
      <c r="K31" s="17">
        <v>16</v>
      </c>
      <c r="L31" s="17">
        <v>30.56</v>
      </c>
      <c r="M31" s="17">
        <v>382</v>
      </c>
      <c r="N31" s="17" t="e">
        <f>[1]!Tabelle1321011121516[[#This Row],[Anzahl Frames]]/[1]!Tabelle1321011121516[[#This Row],[Aufnahmezeit '[s']]]</f>
        <v>#DIV/0!</v>
      </c>
      <c r="O31" s="25" t="e">
        <f>1/[1]!Tabelle1321011121516[[#This Row],[Mean fps ]]</f>
        <v>#DIV/0!</v>
      </c>
      <c r="P31" s="17">
        <v>40</v>
      </c>
      <c r="Q31" s="20"/>
      <c r="R31" s="21"/>
      <c r="S31" s="17">
        <v>1.157</v>
      </c>
      <c r="T31" s="17">
        <v>0.94399999999999995</v>
      </c>
      <c r="U31" s="17">
        <v>1.7370000000000001</v>
      </c>
      <c r="W31" s="7">
        <f>SUM(S22:S31)/10</f>
        <v>1.2073</v>
      </c>
      <c r="X31" s="7">
        <f t="shared" ref="X31:Y31" si="2">SUM(T22:T31)/10</f>
        <v>1.0140999999999998</v>
      </c>
      <c r="Y31" s="7">
        <f t="shared" si="2"/>
        <v>1.6045000000000003</v>
      </c>
      <c r="Z31" s="17">
        <f>_xlfn.STDEV.S(S22:S31)</f>
        <v>9.8531495246725845E-2</v>
      </c>
      <c r="AA31" s="17">
        <f>_xlfn.STDEV.S(T22:T31)</f>
        <v>5.004542381121823E-2</v>
      </c>
      <c r="AB31" s="17">
        <f>_xlfn.STDEV.S(U22:U31)</f>
        <v>0.11075423242477014</v>
      </c>
      <c r="AC31" s="17">
        <f>Tabelle1311[[#This Row],[SD 1]]/Tabelle1311[[#This Row],[Mean Visc. 1 '[mPas']]]</f>
        <v>8.1613099682536105E-2</v>
      </c>
      <c r="AD31" s="17">
        <f>[1]!Tabelle1325[[#This Row],[SD 2]]/[1]!Tabelle1325[[#This Row],[Mean Visc. 2 '[mPas']2]]</f>
        <v>7.0457414084278053E-2</v>
      </c>
      <c r="AE31" s="17">
        <f>[1]!Tabelle1325[[#This Row],[SD 3]]/[1]!Tabelle1325[[#This Row],[Mean Visc. 3 '[mPas']3]]</f>
        <v>7.9012421281616868E-2</v>
      </c>
    </row>
    <row r="32" spans="1:31" s="7" customFormat="1" ht="15" thickTop="1" x14ac:dyDescent="0.3">
      <c r="A32">
        <v>31</v>
      </c>
      <c r="B32" s="4"/>
      <c r="C32" s="5"/>
      <c r="D32" s="7">
        <v>4</v>
      </c>
      <c r="E32" t="s">
        <v>182</v>
      </c>
      <c r="F32" t="s">
        <v>197</v>
      </c>
      <c r="G32" s="23"/>
      <c r="H32" s="11" t="s">
        <v>198</v>
      </c>
      <c r="I32" s="9" t="s">
        <v>12</v>
      </c>
      <c r="J32" s="7">
        <v>22.5</v>
      </c>
      <c r="K32" s="7">
        <v>10</v>
      </c>
      <c r="L32" s="7">
        <v>29.76</v>
      </c>
      <c r="M32" s="7">
        <v>372</v>
      </c>
      <c r="N32" s="7" t="e">
        <f>[1]!Tabelle1321011121516[[#This Row],[Anzahl Frames]]/[1]!Tabelle1321011121516[[#This Row],[Aufnahmezeit '[s']]]</f>
        <v>#DIV/0!</v>
      </c>
      <c r="O32" s="6" t="e">
        <f>1/[1]!Tabelle1321011121516[[#This Row],[Mean fps ]]</f>
        <v>#DIV/0!</v>
      </c>
      <c r="P32" s="7">
        <v>40</v>
      </c>
      <c r="Q32" s="3"/>
      <c r="R32" s="11"/>
      <c r="S32" s="7">
        <v>1.7090000000000001</v>
      </c>
      <c r="T32" s="7">
        <v>1.4650000000000001</v>
      </c>
      <c r="U32" s="7">
        <v>1.708</v>
      </c>
      <c r="AC32" s="7" t="e">
        <f>Tabelle1311[[#This Row],[SD 1]]/Tabelle1311[[#This Row],[Mean Visc. 1 '[mPas']]]</f>
        <v>#DIV/0!</v>
      </c>
      <c r="AD32" s="7" t="e">
        <f>[1]!Tabelle134[[#This Row],[SD 2]]/[1]!Tabelle134[[#This Row],[Mean Visc. 2 '[mPas']2]]</f>
        <v>#DIV/0!</v>
      </c>
      <c r="AE32" s="7" t="e">
        <f>[1]!Tabelle134[[#This Row],[Sd 3]]/[1]!Tabelle134[[#This Row],[Mean Visc. 3 '[mPas']3]]</f>
        <v>#DIV/0!</v>
      </c>
    </row>
    <row r="33" spans="1:31" s="7" customFormat="1" x14ac:dyDescent="0.3">
      <c r="A33">
        <v>32</v>
      </c>
      <c r="B33" s="4"/>
      <c r="C33" s="5"/>
      <c r="D33" s="7">
        <v>4</v>
      </c>
      <c r="E33" t="s">
        <v>182</v>
      </c>
      <c r="F33" t="s">
        <v>197</v>
      </c>
      <c r="G33" s="23"/>
      <c r="H33" s="11" t="s">
        <v>198</v>
      </c>
      <c r="I33" s="9" t="s">
        <v>12</v>
      </c>
      <c r="J33" s="7">
        <v>22.5</v>
      </c>
      <c r="K33" s="7">
        <v>10</v>
      </c>
      <c r="L33" s="7">
        <v>31.44</v>
      </c>
      <c r="M33" s="7">
        <v>393</v>
      </c>
      <c r="N33" s="7" t="e">
        <f>[1]!Tabelle1321011121516[[#This Row],[Anzahl Frames]]/[1]!Tabelle1321011121516[[#This Row],[Aufnahmezeit '[s']]]</f>
        <v>#DIV/0!</v>
      </c>
      <c r="O33" s="6" t="e">
        <f>1/[1]!Tabelle1321011121516[[#This Row],[Mean fps ]]</f>
        <v>#DIV/0!</v>
      </c>
      <c r="P33" s="7">
        <v>40</v>
      </c>
      <c r="Q33" s="3"/>
      <c r="R33" s="11"/>
      <c r="S33" s="7">
        <v>1.677</v>
      </c>
      <c r="T33" s="7">
        <v>1.3520000000000001</v>
      </c>
      <c r="U33" s="7">
        <v>1.8140000000000001</v>
      </c>
      <c r="AC33" s="7" t="e">
        <f>Tabelle1311[[#This Row],[SD 1]]/Tabelle1311[[#This Row],[Mean Visc. 1 '[mPas']]]</f>
        <v>#DIV/0!</v>
      </c>
      <c r="AD33" s="7" t="e">
        <f>[1]!Tabelle134[[#This Row],[SD 2]]/[1]!Tabelle134[[#This Row],[Mean Visc. 2 '[mPas']2]]</f>
        <v>#DIV/0!</v>
      </c>
      <c r="AE33" s="7" t="e">
        <f>[1]!Tabelle134[[#This Row],[Sd 3]]/[1]!Tabelle134[[#This Row],[Mean Visc. 3 '[mPas']3]]</f>
        <v>#DIV/0!</v>
      </c>
    </row>
    <row r="34" spans="1:31" s="7" customFormat="1" x14ac:dyDescent="0.3">
      <c r="A34">
        <v>33</v>
      </c>
      <c r="B34" s="4"/>
      <c r="C34" s="5"/>
      <c r="D34" s="7">
        <v>4</v>
      </c>
      <c r="E34" t="s">
        <v>182</v>
      </c>
      <c r="F34" t="s">
        <v>197</v>
      </c>
      <c r="G34" s="23"/>
      <c r="H34" s="11" t="s">
        <v>198</v>
      </c>
      <c r="I34" s="9" t="s">
        <v>12</v>
      </c>
      <c r="J34" s="7">
        <v>22.4</v>
      </c>
      <c r="K34" s="7">
        <v>10</v>
      </c>
      <c r="L34" s="7">
        <v>31.92</v>
      </c>
      <c r="M34" s="7">
        <v>399</v>
      </c>
      <c r="N34" s="7" t="e">
        <f>[1]!Tabelle1321011121516[[#This Row],[Anzahl Frames]]/[1]!Tabelle1321011121516[[#This Row],[Aufnahmezeit '[s']]]</f>
        <v>#DIV/0!</v>
      </c>
      <c r="O34" s="6" t="e">
        <f>1/[1]!Tabelle1321011121516[[#This Row],[Mean fps ]]</f>
        <v>#DIV/0!</v>
      </c>
      <c r="P34" s="7">
        <v>40</v>
      </c>
      <c r="Q34" s="3"/>
      <c r="R34" s="11"/>
      <c r="S34" s="7">
        <v>1.657</v>
      </c>
      <c r="T34" s="7">
        <v>1.2170000000000001</v>
      </c>
      <c r="U34" s="7">
        <v>0.97899999999999998</v>
      </c>
      <c r="AC34" s="7" t="e">
        <f>Tabelle1311[[#This Row],[SD 1]]/Tabelle1311[[#This Row],[Mean Visc. 1 '[mPas']]]</f>
        <v>#DIV/0!</v>
      </c>
      <c r="AD34" s="7" t="e">
        <f>[1]!Tabelle134[[#This Row],[SD 2]]/[1]!Tabelle134[[#This Row],[Mean Visc. 2 '[mPas']2]]</f>
        <v>#DIV/0!</v>
      </c>
      <c r="AE34" s="7" t="e">
        <f>[1]!Tabelle134[[#This Row],[Sd 3]]/[1]!Tabelle134[[#This Row],[Mean Visc. 3 '[mPas']3]]</f>
        <v>#DIV/0!</v>
      </c>
    </row>
    <row r="35" spans="1:31" s="7" customFormat="1" x14ac:dyDescent="0.3">
      <c r="A35">
        <v>34</v>
      </c>
      <c r="B35" s="4"/>
      <c r="C35" s="5"/>
      <c r="D35" s="7">
        <v>4</v>
      </c>
      <c r="E35" t="s">
        <v>182</v>
      </c>
      <c r="F35" t="s">
        <v>197</v>
      </c>
      <c r="G35" s="23"/>
      <c r="H35" s="11" t="s">
        <v>198</v>
      </c>
      <c r="I35" s="9" t="s">
        <v>12</v>
      </c>
      <c r="J35" s="7">
        <v>22.6</v>
      </c>
      <c r="K35" s="7">
        <v>10</v>
      </c>
      <c r="L35" s="7">
        <v>32.479999999999997</v>
      </c>
      <c r="M35" s="7">
        <v>406</v>
      </c>
      <c r="N35" s="7" t="e">
        <f>[1]!Tabelle1321011121516[[#This Row],[Anzahl Frames]]/[1]!Tabelle1321011121516[[#This Row],[Aufnahmezeit '[s']]]</f>
        <v>#DIV/0!</v>
      </c>
      <c r="O35" s="6" t="e">
        <f>1/[1]!Tabelle1321011121516[[#This Row],[Mean fps ]]</f>
        <v>#DIV/0!</v>
      </c>
      <c r="P35" s="7">
        <v>40</v>
      </c>
      <c r="Q35" s="3"/>
      <c r="R35" s="11"/>
      <c r="S35" s="7">
        <v>1.32</v>
      </c>
      <c r="T35" s="7">
        <v>0.93899999999999995</v>
      </c>
      <c r="U35" s="7">
        <v>0.76100000000000001</v>
      </c>
      <c r="AC35" s="7" t="e">
        <f>Tabelle1311[[#This Row],[SD 1]]/Tabelle1311[[#This Row],[Mean Visc. 1 '[mPas']]]</f>
        <v>#DIV/0!</v>
      </c>
      <c r="AD35" s="7" t="e">
        <f>[1]!Tabelle134[[#This Row],[SD 2]]/[1]!Tabelle134[[#This Row],[Mean Visc. 2 '[mPas']2]]</f>
        <v>#DIV/0!</v>
      </c>
      <c r="AE35" s="7" t="e">
        <f>[1]!Tabelle134[[#This Row],[Sd 3]]/[1]!Tabelle134[[#This Row],[Mean Visc. 3 '[mPas']3]]</f>
        <v>#DIV/0!</v>
      </c>
    </row>
    <row r="36" spans="1:31" s="7" customFormat="1" ht="15" thickBot="1" x14ac:dyDescent="0.35">
      <c r="A36">
        <v>35</v>
      </c>
      <c r="B36" s="15"/>
      <c r="C36" s="16"/>
      <c r="D36" s="17">
        <v>4</v>
      </c>
      <c r="E36" t="s">
        <v>182</v>
      </c>
      <c r="F36" t="s">
        <v>197</v>
      </c>
      <c r="G36" s="24"/>
      <c r="H36" s="21" t="s">
        <v>198</v>
      </c>
      <c r="I36" s="9" t="s">
        <v>12</v>
      </c>
      <c r="J36" s="17">
        <v>22.3</v>
      </c>
      <c r="K36" s="17">
        <v>10</v>
      </c>
      <c r="L36" s="17">
        <v>30.08</v>
      </c>
      <c r="M36" s="17">
        <v>376</v>
      </c>
      <c r="N36" s="17" t="e">
        <f>[1]!Tabelle1321011121516[[#This Row],[Anzahl Frames]]/[1]!Tabelle1321011121516[[#This Row],[Aufnahmezeit '[s']]]</f>
        <v>#DIV/0!</v>
      </c>
      <c r="O36" s="25" t="e">
        <f>1/[1]!Tabelle1321011121516[[#This Row],[Mean fps ]]</f>
        <v>#DIV/0!</v>
      </c>
      <c r="P36" s="17">
        <v>40</v>
      </c>
      <c r="Q36" s="20"/>
      <c r="R36" s="21"/>
      <c r="S36" s="17">
        <v>1.643</v>
      </c>
      <c r="T36" s="17">
        <v>1.4390000000000001</v>
      </c>
      <c r="U36" s="17">
        <v>1.7250000000000001</v>
      </c>
      <c r="V36" s="17"/>
      <c r="W36" s="17"/>
      <c r="X36" s="17"/>
      <c r="Y36" s="17"/>
      <c r="Z36" s="17"/>
      <c r="AA36" s="17"/>
      <c r="AB36" s="17"/>
      <c r="AC36" s="17" t="e">
        <f>Tabelle1311[[#This Row],[SD 1]]/Tabelle1311[[#This Row],[Mean Visc. 1 '[mPas']]]</f>
        <v>#DIV/0!</v>
      </c>
      <c r="AD36" s="17" t="e">
        <f>[1]!Tabelle134[[#This Row],[SD 2]]/[1]!Tabelle134[[#This Row],[Mean Visc. 2 '[mPas']2]]</f>
        <v>#DIV/0!</v>
      </c>
      <c r="AE36" s="17" t="e">
        <f>[1]!Tabelle134[[#This Row],[Sd 3]]/[1]!Tabelle134[[#This Row],[Mean Visc. 3 '[mPas']3]]</f>
        <v>#DIV/0!</v>
      </c>
    </row>
    <row r="37" spans="1:31" s="7" customFormat="1" ht="15" thickTop="1" x14ac:dyDescent="0.3">
      <c r="A37">
        <v>36</v>
      </c>
      <c r="B37" s="4"/>
      <c r="C37" s="5"/>
      <c r="D37" s="7">
        <v>4</v>
      </c>
      <c r="E37" t="s">
        <v>182</v>
      </c>
      <c r="F37" t="s">
        <v>197</v>
      </c>
      <c r="G37" s="23"/>
      <c r="H37" s="11" t="s">
        <v>198</v>
      </c>
      <c r="I37" s="9" t="s">
        <v>12</v>
      </c>
      <c r="J37" s="7">
        <v>22.2</v>
      </c>
      <c r="K37" s="7">
        <v>10</v>
      </c>
      <c r="L37" s="7">
        <v>31.14</v>
      </c>
      <c r="M37" s="7">
        <v>389</v>
      </c>
      <c r="N37" s="7" t="e">
        <f>[1]!Tabelle1321011121516[[#This Row],[Anzahl Frames]]/[1]!Tabelle1321011121516[[#This Row],[Aufnahmezeit '[s']]]</f>
        <v>#DIV/0!</v>
      </c>
      <c r="O37" s="6" t="e">
        <f>1/[1]!Tabelle1321011121516[[#This Row],[Mean fps ]]</f>
        <v>#DIV/0!</v>
      </c>
      <c r="P37" s="7">
        <v>40</v>
      </c>
      <c r="Q37" s="3"/>
      <c r="R37" s="11"/>
      <c r="S37" s="7">
        <v>1.6779999999999999</v>
      </c>
      <c r="T37" s="7">
        <v>1.3640000000000001</v>
      </c>
      <c r="U37" s="7">
        <v>1.9</v>
      </c>
      <c r="AC37" s="7" t="e">
        <f>Tabelle1311[[#This Row],[SD 1]]/Tabelle1311[[#This Row],[Mean Visc. 1 '[mPas']]]</f>
        <v>#DIV/0!</v>
      </c>
      <c r="AD37" s="7" t="e">
        <f>[1]!Tabelle134[[#This Row],[SD 2]]/[1]!Tabelle134[[#This Row],[Mean Visc. 2 '[mPas']2]]</f>
        <v>#DIV/0!</v>
      </c>
      <c r="AE37" s="7" t="e">
        <f>[1]!Tabelle134[[#This Row],[Sd 3]]/[1]!Tabelle134[[#This Row],[Mean Visc. 3 '[mPas']3]]</f>
        <v>#DIV/0!</v>
      </c>
    </row>
    <row r="38" spans="1:31" s="7" customFormat="1" x14ac:dyDescent="0.3">
      <c r="A38">
        <v>37</v>
      </c>
      <c r="B38" s="4"/>
      <c r="C38" s="5"/>
      <c r="D38" s="7">
        <v>4</v>
      </c>
      <c r="E38" t="s">
        <v>182</v>
      </c>
      <c r="F38" t="s">
        <v>197</v>
      </c>
      <c r="G38" s="23"/>
      <c r="H38" s="11" t="s">
        <v>198</v>
      </c>
      <c r="I38" s="9" t="s">
        <v>12</v>
      </c>
      <c r="J38" s="7">
        <v>22.3</v>
      </c>
      <c r="K38" s="7">
        <v>10</v>
      </c>
      <c r="L38" s="7">
        <v>33.119999999999997</v>
      </c>
      <c r="M38" s="7">
        <v>415</v>
      </c>
      <c r="N38" s="7" t="e">
        <f>[1]!Tabelle1321011121516[[#This Row],[Anzahl Frames]]/[1]!Tabelle1321011121516[[#This Row],[Aufnahmezeit '[s']]]</f>
        <v>#DIV/0!</v>
      </c>
      <c r="O38" s="6" t="e">
        <f>1/[1]!Tabelle1321011121516[[#This Row],[Mean fps ]]</f>
        <v>#DIV/0!</v>
      </c>
      <c r="P38" s="7">
        <v>40</v>
      </c>
      <c r="Q38" s="3"/>
      <c r="R38" s="11"/>
      <c r="S38" s="7">
        <v>2.1869999999999998</v>
      </c>
      <c r="T38" s="7">
        <v>1.766</v>
      </c>
      <c r="U38" s="7">
        <v>2.3370000000000002</v>
      </c>
      <c r="AC38" s="7" t="e">
        <f>Tabelle1311[[#This Row],[SD 1]]/Tabelle1311[[#This Row],[Mean Visc. 1 '[mPas']]]</f>
        <v>#DIV/0!</v>
      </c>
      <c r="AD38" s="7" t="e">
        <f>[1]!Tabelle134[[#This Row],[SD 2]]/[1]!Tabelle134[[#This Row],[Mean Visc. 2 '[mPas']2]]</f>
        <v>#DIV/0!</v>
      </c>
      <c r="AE38" s="7" t="e">
        <f>[1]!Tabelle134[[#This Row],[Sd 3]]/[1]!Tabelle134[[#This Row],[Mean Visc. 3 '[mPas']3]]</f>
        <v>#DIV/0!</v>
      </c>
    </row>
    <row r="39" spans="1:31" s="7" customFormat="1" x14ac:dyDescent="0.3">
      <c r="A39">
        <v>38</v>
      </c>
      <c r="B39" s="4"/>
      <c r="C39" s="5"/>
      <c r="D39" s="7">
        <v>4</v>
      </c>
      <c r="E39" t="s">
        <v>182</v>
      </c>
      <c r="F39" t="s">
        <v>197</v>
      </c>
      <c r="G39" s="23"/>
      <c r="H39" s="11" t="s">
        <v>198</v>
      </c>
      <c r="I39" s="9" t="s">
        <v>12</v>
      </c>
      <c r="J39" s="7">
        <v>22.3</v>
      </c>
      <c r="K39" s="7">
        <v>10</v>
      </c>
      <c r="L39" s="7">
        <v>30.38</v>
      </c>
      <c r="M39" s="7">
        <v>380</v>
      </c>
      <c r="N39" s="7" t="e">
        <f>[1]!Tabelle1321011121516[[#This Row],[Anzahl Frames]]/[1]!Tabelle1321011121516[[#This Row],[Aufnahmezeit '[s']]]</f>
        <v>#DIV/0!</v>
      </c>
      <c r="O39" s="6" t="e">
        <f>1/[1]!Tabelle1321011121516[[#This Row],[Mean fps ]]</f>
        <v>#DIV/0!</v>
      </c>
      <c r="P39" s="7">
        <v>40</v>
      </c>
      <c r="Q39" s="3"/>
      <c r="R39" s="11"/>
      <c r="S39" s="7">
        <v>1.5660000000000001</v>
      </c>
      <c r="T39" s="7">
        <v>1.3160000000000001</v>
      </c>
      <c r="U39" s="7">
        <v>1.427</v>
      </c>
      <c r="AC39" s="7" t="e">
        <f>Tabelle1311[[#This Row],[SD 1]]/Tabelle1311[[#This Row],[Mean Visc. 1 '[mPas']]]</f>
        <v>#DIV/0!</v>
      </c>
      <c r="AD39" s="7" t="e">
        <f>[1]!Tabelle134[[#This Row],[SD 2]]/[1]!Tabelle134[[#This Row],[Mean Visc. 2 '[mPas']2]]</f>
        <v>#DIV/0!</v>
      </c>
      <c r="AE39" s="7" t="e">
        <f>[1]!Tabelle134[[#This Row],[Sd 3]]/[1]!Tabelle134[[#This Row],[Mean Visc. 3 '[mPas']3]]</f>
        <v>#DIV/0!</v>
      </c>
    </row>
    <row r="40" spans="1:31" s="7" customFormat="1" x14ac:dyDescent="0.3">
      <c r="A40">
        <v>39</v>
      </c>
      <c r="B40" s="4"/>
      <c r="C40" s="5"/>
      <c r="D40" s="7">
        <v>4</v>
      </c>
      <c r="E40" t="s">
        <v>182</v>
      </c>
      <c r="F40" t="s">
        <v>197</v>
      </c>
      <c r="G40" s="23"/>
      <c r="H40" s="11" t="s">
        <v>198</v>
      </c>
      <c r="I40" s="9" t="s">
        <v>12</v>
      </c>
      <c r="J40" s="7">
        <v>22.3</v>
      </c>
      <c r="K40" s="7">
        <v>10</v>
      </c>
      <c r="L40" s="7">
        <v>31.04</v>
      </c>
      <c r="M40" s="7">
        <v>388</v>
      </c>
      <c r="N40" s="7" t="e">
        <f>[1]!Tabelle1321011121516[[#This Row],[Anzahl Frames]]/[1]!Tabelle1321011121516[[#This Row],[Aufnahmezeit '[s']]]</f>
        <v>#DIV/0!</v>
      </c>
      <c r="O40" s="6" t="e">
        <f>1/[1]!Tabelle1321011121516[[#This Row],[Mean fps ]]</f>
        <v>#DIV/0!</v>
      </c>
      <c r="P40" s="7">
        <v>40</v>
      </c>
      <c r="Q40" s="3"/>
      <c r="R40" s="11"/>
      <c r="S40" s="7">
        <v>1.6519999999999999</v>
      </c>
      <c r="T40" s="7">
        <v>1.67</v>
      </c>
      <c r="U40" s="7">
        <v>2.0710000000000002</v>
      </c>
      <c r="AC40" s="7" t="e">
        <f>Tabelle1311[[#This Row],[SD 1]]/Tabelle1311[[#This Row],[Mean Visc. 1 '[mPas']]]</f>
        <v>#DIV/0!</v>
      </c>
      <c r="AD40" s="7" t="e">
        <f>[1]!Tabelle134[[#This Row],[SD 2]]/[1]!Tabelle134[[#This Row],[Mean Visc. 2 '[mPas']2]]</f>
        <v>#DIV/0!</v>
      </c>
      <c r="AE40" s="7" t="e">
        <f>[1]!Tabelle134[[#This Row],[Sd 3]]/[1]!Tabelle134[[#This Row],[Mean Visc. 3 '[mPas']3]]</f>
        <v>#DIV/0!</v>
      </c>
    </row>
    <row r="41" spans="1:31" s="7" customFormat="1" ht="15" thickBot="1" x14ac:dyDescent="0.35">
      <c r="A41">
        <v>40</v>
      </c>
      <c r="B41" s="15"/>
      <c r="C41" s="16"/>
      <c r="D41" s="17">
        <v>4</v>
      </c>
      <c r="E41" t="s">
        <v>182</v>
      </c>
      <c r="F41" t="s">
        <v>197</v>
      </c>
      <c r="G41" s="24"/>
      <c r="H41" s="21" t="s">
        <v>198</v>
      </c>
      <c r="I41" s="9" t="s">
        <v>12</v>
      </c>
      <c r="J41" s="17">
        <v>22.4</v>
      </c>
      <c r="K41" s="17">
        <v>10</v>
      </c>
      <c r="L41" s="17">
        <v>31.2</v>
      </c>
      <c r="M41" s="17">
        <v>390</v>
      </c>
      <c r="N41" s="17" t="e">
        <f>[1]!Tabelle1321011121516[[#This Row],[Anzahl Frames]]/[1]!Tabelle1321011121516[[#This Row],[Aufnahmezeit '[s']]]</f>
        <v>#DIV/0!</v>
      </c>
      <c r="O41" s="25" t="e">
        <f>1/[1]!Tabelle1321011121516[[#This Row],[Mean fps ]]</f>
        <v>#DIV/0!</v>
      </c>
      <c r="P41" s="17">
        <v>40</v>
      </c>
      <c r="Q41" s="20"/>
      <c r="R41" s="21"/>
      <c r="S41" s="17">
        <v>1.5960000000000001</v>
      </c>
      <c r="T41" s="17">
        <v>1.2749999999999999</v>
      </c>
      <c r="U41" s="17">
        <v>1.2150000000000001</v>
      </c>
      <c r="V41" s="17"/>
      <c r="W41" s="7">
        <f>SUM(S32:S41)/10</f>
        <v>1.6685000000000003</v>
      </c>
      <c r="X41" s="7">
        <f t="shared" ref="X41:Y41" si="3">SUM(T32:T41)/10</f>
        <v>1.3803000000000003</v>
      </c>
      <c r="Y41" s="7">
        <f t="shared" si="3"/>
        <v>1.5936999999999999</v>
      </c>
      <c r="Z41" s="17">
        <f>_xlfn.STDEV.S(S32:S41)</f>
        <v>0.2131547429555426</v>
      </c>
      <c r="AA41" s="17">
        <f>_xlfn.STDEV.S(T32:T41)</f>
        <v>0.23118345288728648</v>
      </c>
      <c r="AB41" s="17">
        <f>_xlfn.STDEV.S(U32:U41)</f>
        <v>0.4938976614643974</v>
      </c>
      <c r="AC41" s="17">
        <f>Tabelle1311[[#This Row],[SD 1]]/Tabelle1311[[#This Row],[Mean Visc. 1 '[mPas']]]</f>
        <v>0.12775231822327993</v>
      </c>
      <c r="AD41" s="17">
        <f>[1]!Tabelle1325[[#This Row],[SD 2]]/[1]!Tabelle1325[[#This Row],[Mean Visc. 2 '[mPas']2]]</f>
        <v>0.1169266007751652</v>
      </c>
      <c r="AE41" s="17">
        <f>[1]!Tabelle1325[[#This Row],[SD 3]]/[1]!Tabelle1325[[#This Row],[Mean Visc. 3 '[mPas']3]]</f>
        <v>9.3320365155609111E-2</v>
      </c>
    </row>
    <row r="42" spans="1:31" s="7" customFormat="1" ht="15" thickTop="1" x14ac:dyDescent="0.3">
      <c r="A42">
        <v>41</v>
      </c>
      <c r="B42" s="4"/>
      <c r="C42" s="5"/>
      <c r="D42" s="7">
        <v>5</v>
      </c>
      <c r="E42" t="s">
        <v>165</v>
      </c>
      <c r="F42" t="s">
        <v>192</v>
      </c>
      <c r="G42" s="23"/>
      <c r="H42" s="11" t="s">
        <v>198</v>
      </c>
      <c r="I42" s="9" t="s">
        <v>12</v>
      </c>
      <c r="J42" s="7">
        <v>24.5</v>
      </c>
      <c r="K42" s="7">
        <v>10</v>
      </c>
      <c r="L42" s="7">
        <v>29.78</v>
      </c>
      <c r="M42" s="7">
        <v>376</v>
      </c>
      <c r="N42" s="7">
        <f>[1]!Tabelle1321011121516[[#This Row],[Anzahl Frames]]/[1]!Tabelle1321011121516[[#This Row],[Aufnahmezeit '[s']]]</f>
        <v>12.5</v>
      </c>
      <c r="O42" s="6">
        <f>1/[1]!Tabelle1321011121516[[#This Row],[Mean fps ]]</f>
        <v>0.08</v>
      </c>
      <c r="P42" s="7">
        <v>40</v>
      </c>
      <c r="Q42" s="3"/>
      <c r="R42" s="11"/>
      <c r="S42" s="7">
        <v>1.6639999999999999</v>
      </c>
      <c r="T42" s="7">
        <v>1.252</v>
      </c>
      <c r="U42" s="7">
        <v>2</v>
      </c>
      <c r="AC42" s="7" t="e">
        <f>Tabelle1311[[#This Row],[SD 1]]/Tabelle1311[[#This Row],[Mean Visc. 1 '[mPas']]]</f>
        <v>#DIV/0!</v>
      </c>
    </row>
    <row r="43" spans="1:31" s="7" customFormat="1" x14ac:dyDescent="0.3">
      <c r="A43">
        <v>42</v>
      </c>
      <c r="B43" s="4"/>
      <c r="C43" s="5"/>
      <c r="D43" s="7">
        <v>5</v>
      </c>
      <c r="E43" t="s">
        <v>165</v>
      </c>
      <c r="F43" t="s">
        <v>192</v>
      </c>
      <c r="G43" s="23"/>
      <c r="H43" s="11" t="s">
        <v>198</v>
      </c>
      <c r="I43" s="9" t="s">
        <v>12</v>
      </c>
      <c r="J43" s="7">
        <v>24.7</v>
      </c>
      <c r="K43" s="7">
        <v>10</v>
      </c>
      <c r="L43" s="7">
        <v>34.479999999999997</v>
      </c>
      <c r="M43" s="7">
        <v>432</v>
      </c>
      <c r="N43" s="7">
        <f>[1]!Tabelle1321011121516[[#This Row],[Anzahl Frames]]/[1]!Tabelle1321011121516[[#This Row],[Aufnahmezeit '[s']]]</f>
        <v>12.5</v>
      </c>
      <c r="O43" s="6">
        <f>1/[1]!Tabelle1321011121516[[#This Row],[Mean fps ]]</f>
        <v>0.08</v>
      </c>
      <c r="P43" s="7">
        <v>40</v>
      </c>
      <c r="Q43" s="3"/>
      <c r="R43" s="11"/>
      <c r="S43" s="7">
        <v>1.948</v>
      </c>
      <c r="T43" s="7">
        <v>1.6559999999999999</v>
      </c>
      <c r="U43" s="7">
        <v>2.1579999999999999</v>
      </c>
      <c r="AC43" s="7" t="e">
        <f>Tabelle1311[[#This Row],[SD 1]]/Tabelle1311[[#This Row],[Mean Visc. 1 '[mPas']]]</f>
        <v>#DIV/0!</v>
      </c>
    </row>
    <row r="44" spans="1:31" s="7" customFormat="1" x14ac:dyDescent="0.3">
      <c r="A44">
        <v>43</v>
      </c>
      <c r="B44" s="4"/>
      <c r="C44" s="5"/>
      <c r="D44" s="7">
        <v>5</v>
      </c>
      <c r="E44" t="s">
        <v>165</v>
      </c>
      <c r="F44" t="s">
        <v>192</v>
      </c>
      <c r="G44" s="23"/>
      <c r="H44" s="11" t="s">
        <v>198</v>
      </c>
      <c r="I44" s="9" t="s">
        <v>12</v>
      </c>
      <c r="J44" s="7">
        <v>24.8</v>
      </c>
      <c r="K44" s="7">
        <v>10</v>
      </c>
      <c r="L44" s="7">
        <v>32.4</v>
      </c>
      <c r="M44" s="7">
        <v>405</v>
      </c>
      <c r="N44" s="7">
        <f>[1]!Tabelle1321011121516[[#This Row],[Anzahl Frames]]/[1]!Tabelle1321011121516[[#This Row],[Aufnahmezeit '[s']]]</f>
        <v>12.5</v>
      </c>
      <c r="O44" s="6">
        <f>1/[1]!Tabelle1321011121516[[#This Row],[Mean fps ]]</f>
        <v>0.08</v>
      </c>
      <c r="P44" s="7">
        <v>40</v>
      </c>
      <c r="Q44" s="3"/>
      <c r="R44" s="11"/>
      <c r="S44" s="7">
        <v>1.8080000000000001</v>
      </c>
      <c r="T44" s="7">
        <v>1.5669999999999999</v>
      </c>
      <c r="U44" s="7">
        <v>1.9390000000000001</v>
      </c>
      <c r="AC44" s="7" t="e">
        <f>Tabelle1311[[#This Row],[SD 1]]/Tabelle1311[[#This Row],[Mean Visc. 1 '[mPas']]]</f>
        <v>#DIV/0!</v>
      </c>
    </row>
    <row r="45" spans="1:31" s="7" customFormat="1" x14ac:dyDescent="0.3">
      <c r="A45">
        <v>44</v>
      </c>
      <c r="B45" s="4"/>
      <c r="C45" s="5"/>
      <c r="D45" s="7">
        <v>5</v>
      </c>
      <c r="E45" t="s">
        <v>165</v>
      </c>
      <c r="F45" t="s">
        <v>192</v>
      </c>
      <c r="G45" s="23"/>
      <c r="H45" s="11" t="s">
        <v>198</v>
      </c>
      <c r="I45" s="9" t="s">
        <v>12</v>
      </c>
      <c r="J45" s="7">
        <v>24.9</v>
      </c>
      <c r="K45" s="7">
        <v>10</v>
      </c>
      <c r="L45" s="7">
        <v>30.88</v>
      </c>
      <c r="M45" s="7">
        <v>387</v>
      </c>
      <c r="N45" s="7">
        <f>[1]!Tabelle1321011121516[[#This Row],[Anzahl Frames]]/[1]!Tabelle1321011121516[[#This Row],[Aufnahmezeit '[s']]]</f>
        <v>12.532894736842106</v>
      </c>
      <c r="O45" s="6">
        <f>1/[1]!Tabelle1321011121516[[#This Row],[Mean fps ]]</f>
        <v>7.9790026246719159E-2</v>
      </c>
      <c r="P45" s="7">
        <v>40</v>
      </c>
      <c r="Q45" s="3"/>
      <c r="R45" s="11"/>
      <c r="S45" s="7">
        <v>2.2280000000000002</v>
      </c>
      <c r="T45" s="7">
        <v>1.802</v>
      </c>
      <c r="U45" s="7">
        <v>2.1760000000000002</v>
      </c>
      <c r="AC45" s="7" t="e">
        <f>Tabelle1311[[#This Row],[SD 1]]/Tabelle1311[[#This Row],[Mean Visc. 1 '[mPas']]]</f>
        <v>#DIV/0!</v>
      </c>
    </row>
    <row r="46" spans="1:31" s="7" customFormat="1" ht="15" thickBot="1" x14ac:dyDescent="0.35">
      <c r="A46">
        <v>45</v>
      </c>
      <c r="B46" s="4"/>
      <c r="C46" s="16"/>
      <c r="D46" s="7">
        <v>5</v>
      </c>
      <c r="E46" t="s">
        <v>165</v>
      </c>
      <c r="F46" t="s">
        <v>192</v>
      </c>
      <c r="G46" s="24"/>
      <c r="H46" s="21" t="s">
        <v>198</v>
      </c>
      <c r="I46" s="9" t="s">
        <v>12</v>
      </c>
      <c r="J46" s="17">
        <v>25</v>
      </c>
      <c r="K46" s="17">
        <v>10</v>
      </c>
      <c r="L46" s="17">
        <v>30.58</v>
      </c>
      <c r="M46" s="17">
        <v>382</v>
      </c>
      <c r="N46" s="17">
        <f>[1]!Tabelle1321011121516[[#This Row],[Anzahl Frames]]/[1]!Tabelle1321011121516[[#This Row],[Aufnahmezeit '[s']]]</f>
        <v>12.532637075718016</v>
      </c>
      <c r="O46" s="25">
        <f>1/[1]!Tabelle1321011121516[[#This Row],[Mean fps ]]</f>
        <v>7.9791666666666664E-2</v>
      </c>
      <c r="P46" s="17">
        <v>40</v>
      </c>
      <c r="Q46" s="20"/>
      <c r="R46" s="21"/>
      <c r="S46" s="17">
        <v>2.044</v>
      </c>
      <c r="T46" s="17">
        <v>1.484</v>
      </c>
      <c r="U46" s="17">
        <v>2.1</v>
      </c>
      <c r="V46" s="17"/>
      <c r="W46" s="17"/>
      <c r="X46" s="17"/>
      <c r="Y46" s="17"/>
      <c r="Z46" s="17"/>
      <c r="AA46" s="17"/>
      <c r="AB46" s="17"/>
      <c r="AC46" s="17" t="e">
        <f>Tabelle1311[[#This Row],[SD 1]]/Tabelle1311[[#This Row],[Mean Visc. 1 '[mPas']]]</f>
        <v>#DIV/0!</v>
      </c>
      <c r="AD46" s="17"/>
      <c r="AE46" s="17"/>
    </row>
    <row r="47" spans="1:31" s="7" customFormat="1" ht="15" thickTop="1" x14ac:dyDescent="0.3">
      <c r="A47">
        <v>46</v>
      </c>
      <c r="B47" s="4"/>
      <c r="C47" s="5"/>
      <c r="D47" s="7">
        <v>5</v>
      </c>
      <c r="E47" t="s">
        <v>165</v>
      </c>
      <c r="F47" t="s">
        <v>192</v>
      </c>
      <c r="G47" s="23"/>
      <c r="H47" s="11" t="s">
        <v>198</v>
      </c>
      <c r="I47" s="9" t="s">
        <v>12</v>
      </c>
      <c r="J47" s="7">
        <v>25</v>
      </c>
      <c r="K47" s="7">
        <v>10</v>
      </c>
      <c r="L47" s="7">
        <v>30.88</v>
      </c>
      <c r="M47" s="7">
        <v>386</v>
      </c>
      <c r="N47" s="7">
        <f>[1]!Tabelle1321011121516[[#This Row],[Anzahl Frames]]/[1]!Tabelle1321011121516[[#This Row],[Aufnahmezeit '[s']]]</f>
        <v>12.5</v>
      </c>
      <c r="O47" s="6">
        <f>1/[1]!Tabelle1321011121516[[#This Row],[Mean fps ]]</f>
        <v>0.08</v>
      </c>
      <c r="P47" s="7">
        <v>40</v>
      </c>
      <c r="Q47" s="3"/>
      <c r="R47" s="11"/>
      <c r="S47" s="7">
        <v>1.7809999999999999</v>
      </c>
      <c r="T47" s="7">
        <v>1.5049999999999999</v>
      </c>
      <c r="U47" s="7">
        <v>1.776</v>
      </c>
      <c r="AC47" s="7" t="e">
        <f>Tabelle1311[[#This Row],[SD 1]]/Tabelle1311[[#This Row],[Mean Visc. 1 '[mPas']]]</f>
        <v>#DIV/0!</v>
      </c>
    </row>
    <row r="48" spans="1:31" s="7" customFormat="1" x14ac:dyDescent="0.3">
      <c r="A48">
        <v>47</v>
      </c>
      <c r="B48" s="4"/>
      <c r="C48" s="5"/>
      <c r="D48" s="7">
        <v>5</v>
      </c>
      <c r="E48" t="s">
        <v>165</v>
      </c>
      <c r="F48" t="s">
        <v>192</v>
      </c>
      <c r="G48" s="23"/>
      <c r="H48" s="11" t="s">
        <v>198</v>
      </c>
      <c r="I48" s="9" t="s">
        <v>12</v>
      </c>
      <c r="J48" s="7">
        <v>25</v>
      </c>
      <c r="K48" s="7">
        <v>10</v>
      </c>
      <c r="L48" s="7">
        <v>30.61</v>
      </c>
      <c r="M48" s="7">
        <v>382</v>
      </c>
      <c r="N48" s="7">
        <f>[1]!Tabelle1321011121516[[#This Row],[Anzahl Frames]]/[1]!Tabelle1321011121516[[#This Row],[Aufnahmezeit '[s']]]</f>
        <v>12.53315649867374</v>
      </c>
      <c r="O48" s="6">
        <f>1/[1]!Tabelle1321011121516[[#This Row],[Mean fps ]]</f>
        <v>7.9788359788359783E-2</v>
      </c>
      <c r="P48" s="7">
        <v>40</v>
      </c>
      <c r="Q48" s="3"/>
      <c r="R48" s="11"/>
      <c r="S48" s="7">
        <v>1.923</v>
      </c>
      <c r="T48" s="7">
        <v>1.579</v>
      </c>
      <c r="U48" s="7">
        <v>2.02</v>
      </c>
      <c r="AC48" s="7" t="e">
        <f>Tabelle1311[[#This Row],[SD 1]]/Tabelle1311[[#This Row],[Mean Visc. 1 '[mPas']]]</f>
        <v>#DIV/0!</v>
      </c>
    </row>
    <row r="49" spans="1:31" s="7" customFormat="1" x14ac:dyDescent="0.3">
      <c r="A49">
        <v>48</v>
      </c>
      <c r="B49" s="4"/>
      <c r="C49" s="5"/>
      <c r="D49" s="7">
        <v>5</v>
      </c>
      <c r="E49" t="s">
        <v>165</v>
      </c>
      <c r="F49" t="s">
        <v>192</v>
      </c>
      <c r="G49" s="23"/>
      <c r="H49" s="11" t="s">
        <v>198</v>
      </c>
      <c r="I49" s="9" t="s">
        <v>12</v>
      </c>
      <c r="J49" s="7">
        <v>25.1</v>
      </c>
      <c r="K49" s="7">
        <v>10</v>
      </c>
      <c r="L49" s="7">
        <v>30.96</v>
      </c>
      <c r="M49" s="7">
        <v>387</v>
      </c>
      <c r="N49" s="7">
        <f>[1]!Tabelle1321011121516[[#This Row],[Anzahl Frames]]/[1]!Tabelle1321011121516[[#This Row],[Aufnahmezeit '[s']]]</f>
        <v>12.5</v>
      </c>
      <c r="O49" s="6">
        <f>1/[1]!Tabelle1321011121516[[#This Row],[Mean fps ]]</f>
        <v>0.08</v>
      </c>
      <c r="P49" s="7">
        <v>40</v>
      </c>
      <c r="Q49" s="3"/>
      <c r="R49" s="11"/>
      <c r="S49" s="7">
        <v>1.6970000000000001</v>
      </c>
      <c r="T49" s="7">
        <v>1.468</v>
      </c>
      <c r="U49" s="7">
        <v>1.9550000000000001</v>
      </c>
      <c r="AC49" s="7" t="e">
        <f>Tabelle1311[[#This Row],[SD 1]]/Tabelle1311[[#This Row],[Mean Visc. 1 '[mPas']]]</f>
        <v>#DIV/0!</v>
      </c>
    </row>
    <row r="50" spans="1:31" s="7" customFormat="1" x14ac:dyDescent="0.3">
      <c r="A50">
        <v>49</v>
      </c>
      <c r="B50" s="4"/>
      <c r="C50" s="5"/>
      <c r="D50" s="7">
        <v>5</v>
      </c>
      <c r="E50" t="s">
        <v>165</v>
      </c>
      <c r="F50" t="s">
        <v>192</v>
      </c>
      <c r="G50" s="23"/>
      <c r="H50" s="11" t="s">
        <v>198</v>
      </c>
      <c r="I50" s="9" t="s">
        <v>12</v>
      </c>
      <c r="J50" s="7">
        <v>25.1</v>
      </c>
      <c r="K50" s="7">
        <v>10</v>
      </c>
      <c r="L50" s="7">
        <v>29.52</v>
      </c>
      <c r="M50" s="7">
        <v>369</v>
      </c>
      <c r="N50" s="7">
        <f>[1]!Tabelle1321011121516[[#This Row],[Anzahl Frames]]/[1]!Tabelle1321011121516[[#This Row],[Aufnahmezeit '[s']]]</f>
        <v>12.5</v>
      </c>
      <c r="O50" s="6">
        <f>1/[1]!Tabelle1321011121516[[#This Row],[Mean fps ]]</f>
        <v>0.08</v>
      </c>
      <c r="P50" s="7">
        <v>40</v>
      </c>
      <c r="Q50" s="3"/>
      <c r="R50" s="11"/>
      <c r="S50" s="7">
        <v>1.718</v>
      </c>
      <c r="T50" s="7">
        <v>1.4490000000000001</v>
      </c>
      <c r="U50" s="7">
        <v>1.988</v>
      </c>
      <c r="AC50" s="7" t="e">
        <f>Tabelle1311[[#This Row],[SD 1]]/Tabelle1311[[#This Row],[Mean Visc. 1 '[mPas']]]</f>
        <v>#DIV/0!</v>
      </c>
    </row>
    <row r="51" spans="1:31" s="7" customFormat="1" ht="15" thickBot="1" x14ac:dyDescent="0.35">
      <c r="A51">
        <v>50</v>
      </c>
      <c r="B51" s="15"/>
      <c r="C51" s="16"/>
      <c r="D51" s="7">
        <v>5</v>
      </c>
      <c r="E51" t="s">
        <v>165</v>
      </c>
      <c r="F51" t="s">
        <v>192</v>
      </c>
      <c r="G51" s="24"/>
      <c r="H51" s="21" t="s">
        <v>198</v>
      </c>
      <c r="I51" s="9" t="s">
        <v>12</v>
      </c>
      <c r="J51" s="17">
        <v>25.1</v>
      </c>
      <c r="K51" s="17">
        <v>10</v>
      </c>
      <c r="L51" s="17">
        <v>31.04</v>
      </c>
      <c r="M51" s="17">
        <v>388</v>
      </c>
      <c r="N51" s="17">
        <f>[1]!Tabelle1321011121516[[#This Row],[Anzahl Frames]]/[1]!Tabelle1321011121516[[#This Row],[Aufnahmezeit '[s']]]</f>
        <v>12.504007694773966</v>
      </c>
      <c r="O51" s="25">
        <f>1/[1]!Tabelle1321011121516[[#This Row],[Mean fps ]]</f>
        <v>7.9974358974358978E-2</v>
      </c>
      <c r="P51" s="17">
        <v>40</v>
      </c>
      <c r="Q51" s="20"/>
      <c r="R51" s="21"/>
      <c r="S51" s="17">
        <v>1.7430000000000001</v>
      </c>
      <c r="T51" s="17">
        <v>1.375</v>
      </c>
      <c r="U51" s="17">
        <v>2.1659999999999999</v>
      </c>
      <c r="V51" s="17"/>
      <c r="W51" s="7">
        <f>SUM(S42:S51)/10</f>
        <v>1.8553999999999999</v>
      </c>
      <c r="X51" s="7">
        <f t="shared" ref="X51:Y51" si="4">SUM(T42:T51)/10</f>
        <v>1.5136999999999998</v>
      </c>
      <c r="Y51" s="7">
        <f t="shared" si="4"/>
        <v>2.0278</v>
      </c>
      <c r="Z51" s="17">
        <f>_xlfn.STDEV.S(S42:S51)</f>
        <v>0.17906063529182265</v>
      </c>
      <c r="AA51" s="17">
        <f>_xlfn.STDEV.S(T42:T51)</f>
        <v>0.1510805892378119</v>
      </c>
      <c r="AB51" s="17">
        <f>_xlfn.STDEV.S(U42:U51)</f>
        <v>0.12571290042526795</v>
      </c>
      <c r="AC51" s="17">
        <f>Tabelle1311[[#This Row],[SD 1]]/Tabelle1311[[#This Row],[Mean Visc. 1 '[mPas']]]</f>
        <v>9.6507834047549132E-2</v>
      </c>
      <c r="AD51" s="17">
        <f>[1]!Tabelle1326[[#This Row],[SD 2]]/[1]!Tabelle1326[[#This Row],[Mean Visc. 2 '[mPas']2]]</f>
        <v>9.9808805732847936E-2</v>
      </c>
      <c r="AE51" s="17">
        <f>[1]!Tabelle1326[[#This Row],[SD 3]]/[1]!Tabelle1326[[#This Row],[Mean Visc. 3 '[mPas']3]]</f>
        <v>6.1994723555216465E-2</v>
      </c>
    </row>
    <row r="52" spans="1:31" ht="15" thickTop="1" x14ac:dyDescent="0.3">
      <c r="A52">
        <v>51</v>
      </c>
      <c r="B52" s="4"/>
      <c r="C52" s="5"/>
      <c r="D52" s="7">
        <v>6</v>
      </c>
      <c r="E52" t="s">
        <v>165</v>
      </c>
      <c r="F52" t="s">
        <v>197</v>
      </c>
      <c r="G52" s="23"/>
      <c r="H52" s="11" t="s">
        <v>198</v>
      </c>
      <c r="I52" s="9" t="s">
        <v>12</v>
      </c>
      <c r="J52" s="7">
        <v>23.9</v>
      </c>
      <c r="K52" s="7">
        <v>10</v>
      </c>
      <c r="L52" s="7">
        <v>32.549999999999997</v>
      </c>
      <c r="M52" s="7">
        <v>407</v>
      </c>
      <c r="N52" s="7" t="e">
        <f>[1]!Tabelle1321011121516[[#This Row],[Anzahl Frames]]/[1]!Tabelle1321011121516[[#This Row],[Aufnahmezeit '[s']]]</f>
        <v>#DIV/0!</v>
      </c>
      <c r="O52" s="6" t="e">
        <f>1/[1]!Tabelle1321011121516[[#This Row],[Mean fps ]]</f>
        <v>#DIV/0!</v>
      </c>
      <c r="P52" s="7">
        <v>40</v>
      </c>
      <c r="Q52" s="3"/>
      <c r="R52" s="11"/>
      <c r="S52" s="7">
        <v>2.3610000000000002</v>
      </c>
      <c r="T52" s="7">
        <v>1.768</v>
      </c>
      <c r="U52" s="7">
        <v>2.3690000000000002</v>
      </c>
      <c r="V52" s="7"/>
      <c r="W52" s="7"/>
      <c r="X52" s="7"/>
      <c r="Y52" s="7"/>
      <c r="Z52" s="7"/>
      <c r="AA52" s="7"/>
      <c r="AB52" s="7"/>
      <c r="AC52" s="7" t="e">
        <f>Tabelle1311[[#This Row],[SD 1]]/Tabelle1311[[#This Row],[Mean Visc. 1 '[mPas']]]</f>
        <v>#DIV/0!</v>
      </c>
      <c r="AD52" s="7"/>
      <c r="AE52" s="7"/>
    </row>
    <row r="53" spans="1:31" x14ac:dyDescent="0.3">
      <c r="A53">
        <v>52</v>
      </c>
      <c r="B53" s="4"/>
      <c r="C53" s="5"/>
      <c r="D53" s="7">
        <v>6</v>
      </c>
      <c r="E53" t="s">
        <v>165</v>
      </c>
      <c r="F53" t="s">
        <v>197</v>
      </c>
      <c r="G53" s="23"/>
      <c r="H53" s="11" t="s">
        <v>198</v>
      </c>
      <c r="I53" s="9" t="s">
        <v>12</v>
      </c>
      <c r="J53" s="7">
        <v>24</v>
      </c>
      <c r="K53" s="7">
        <v>10</v>
      </c>
      <c r="L53" s="7">
        <v>30.8</v>
      </c>
      <c r="M53" s="7">
        <v>385</v>
      </c>
      <c r="N53" s="7" t="e">
        <f>[1]!Tabelle1321011121516[[#This Row],[Anzahl Frames]]/[1]!Tabelle1321011121516[[#This Row],[Aufnahmezeit '[s']]]</f>
        <v>#DIV/0!</v>
      </c>
      <c r="O53" s="6" t="e">
        <f>1/[1]!Tabelle1321011121516[[#This Row],[Mean fps ]]</f>
        <v>#DIV/0!</v>
      </c>
      <c r="P53" s="7">
        <v>40</v>
      </c>
      <c r="Q53" s="3"/>
      <c r="R53" s="11"/>
      <c r="S53" s="7">
        <v>2.0329999999999999</v>
      </c>
      <c r="T53" s="7">
        <v>1.504</v>
      </c>
      <c r="U53" s="7">
        <v>2.4390000000000001</v>
      </c>
      <c r="V53" s="7"/>
      <c r="W53" s="7"/>
      <c r="X53" s="7"/>
      <c r="Y53" s="7"/>
      <c r="Z53" s="7"/>
      <c r="AA53" s="7"/>
      <c r="AB53" s="7"/>
      <c r="AC53" s="7" t="e">
        <f>Tabelle1311[[#This Row],[SD 1]]/Tabelle1311[[#This Row],[Mean Visc. 1 '[mPas']]]</f>
        <v>#DIV/0!</v>
      </c>
      <c r="AD53" s="7"/>
      <c r="AE53" s="7"/>
    </row>
    <row r="54" spans="1:31" x14ac:dyDescent="0.3">
      <c r="A54">
        <v>53</v>
      </c>
      <c r="B54" s="4"/>
      <c r="C54" s="5"/>
      <c r="D54" s="7">
        <v>6</v>
      </c>
      <c r="E54" t="s">
        <v>165</v>
      </c>
      <c r="F54" t="s">
        <v>197</v>
      </c>
      <c r="G54" s="23"/>
      <c r="H54" s="11" t="s">
        <v>198</v>
      </c>
      <c r="I54" s="9" t="s">
        <v>12</v>
      </c>
      <c r="J54" s="7">
        <v>24</v>
      </c>
      <c r="K54" s="7">
        <v>10</v>
      </c>
      <c r="L54" s="7">
        <v>31.12</v>
      </c>
      <c r="M54" s="7">
        <v>389</v>
      </c>
      <c r="N54" s="7" t="e">
        <f>[1]!Tabelle1321011121516[[#This Row],[Anzahl Frames]]/[1]!Tabelle1321011121516[[#This Row],[Aufnahmezeit '[s']]]</f>
        <v>#DIV/0!</v>
      </c>
      <c r="O54" s="6" t="e">
        <f>1/[1]!Tabelle1321011121516[[#This Row],[Mean fps ]]</f>
        <v>#DIV/0!</v>
      </c>
      <c r="P54" s="7">
        <v>40</v>
      </c>
      <c r="Q54" s="3"/>
      <c r="R54" s="11"/>
      <c r="S54" s="7">
        <v>2.1040000000000001</v>
      </c>
      <c r="T54" s="7">
        <v>1.639</v>
      </c>
      <c r="U54" s="7">
        <v>2.573</v>
      </c>
      <c r="V54" s="7"/>
      <c r="W54" s="7"/>
      <c r="X54" s="7"/>
      <c r="Y54" s="7"/>
      <c r="Z54" s="7"/>
      <c r="AA54" s="7"/>
      <c r="AB54" s="7"/>
      <c r="AC54" s="7" t="e">
        <f>Tabelle1311[[#This Row],[SD 1]]/Tabelle1311[[#This Row],[Mean Visc. 1 '[mPas']]]</f>
        <v>#DIV/0!</v>
      </c>
      <c r="AD54" s="7"/>
      <c r="AE54" s="7"/>
    </row>
    <row r="55" spans="1:31" x14ac:dyDescent="0.3">
      <c r="A55">
        <v>54</v>
      </c>
      <c r="B55" s="4"/>
      <c r="C55" s="5"/>
      <c r="D55" s="7">
        <v>6</v>
      </c>
      <c r="E55" t="s">
        <v>165</v>
      </c>
      <c r="F55" t="s">
        <v>197</v>
      </c>
      <c r="G55" s="23"/>
      <c r="H55" s="11" t="s">
        <v>198</v>
      </c>
      <c r="I55" s="9" t="s">
        <v>12</v>
      </c>
      <c r="J55" s="7">
        <v>24</v>
      </c>
      <c r="K55" s="7">
        <v>10</v>
      </c>
      <c r="L55" s="7">
        <v>29.76</v>
      </c>
      <c r="M55" s="7">
        <v>372</v>
      </c>
      <c r="N55" s="7" t="e">
        <f>[1]!Tabelle1321011121516[[#This Row],[Anzahl Frames]]/[1]!Tabelle1321011121516[[#This Row],[Aufnahmezeit '[s']]]</f>
        <v>#DIV/0!</v>
      </c>
      <c r="O55" s="6" t="e">
        <f>1/[1]!Tabelle1321011121516[[#This Row],[Mean fps ]]</f>
        <v>#DIV/0!</v>
      </c>
      <c r="P55" s="7">
        <v>40</v>
      </c>
      <c r="Q55" s="3"/>
      <c r="R55" s="11"/>
      <c r="S55" s="7">
        <v>2.605</v>
      </c>
      <c r="T55" s="7">
        <v>1.7549999999999999</v>
      </c>
      <c r="U55" s="7">
        <v>2.673</v>
      </c>
      <c r="V55" s="7"/>
      <c r="W55" s="7"/>
      <c r="X55" s="7"/>
      <c r="Y55" s="7"/>
      <c r="Z55" s="7"/>
      <c r="AA55" s="7"/>
      <c r="AB55" s="7"/>
      <c r="AC55" s="7" t="e">
        <f>Tabelle1311[[#This Row],[SD 1]]/Tabelle1311[[#This Row],[Mean Visc. 1 '[mPas']]]</f>
        <v>#DIV/0!</v>
      </c>
      <c r="AD55" s="7"/>
      <c r="AE55" s="7"/>
    </row>
    <row r="56" spans="1:31" ht="15" thickBot="1" x14ac:dyDescent="0.35">
      <c r="A56">
        <v>55</v>
      </c>
      <c r="B56" s="15"/>
      <c r="C56" s="16"/>
      <c r="D56" s="7">
        <v>6</v>
      </c>
      <c r="E56" t="s">
        <v>165</v>
      </c>
      <c r="F56" t="s">
        <v>197</v>
      </c>
      <c r="G56" s="24"/>
      <c r="H56" s="21" t="s">
        <v>198</v>
      </c>
      <c r="I56" s="9" t="s">
        <v>12</v>
      </c>
      <c r="J56" s="17">
        <v>24.1</v>
      </c>
      <c r="K56" s="17">
        <v>10</v>
      </c>
      <c r="L56" s="17">
        <v>30.71</v>
      </c>
      <c r="M56" s="17">
        <v>384</v>
      </c>
      <c r="N56" s="17" t="e">
        <f>[1]!Tabelle1321011121516[[#This Row],[Anzahl Frames]]/[1]!Tabelle1321011121516[[#This Row],[Aufnahmezeit '[s']]]</f>
        <v>#DIV/0!</v>
      </c>
      <c r="O56" s="25" t="e">
        <f>1/[1]!Tabelle1321011121516[[#This Row],[Mean fps ]]</f>
        <v>#DIV/0!</v>
      </c>
      <c r="P56" s="17">
        <v>40</v>
      </c>
      <c r="Q56" s="20"/>
      <c r="R56" s="21"/>
      <c r="S56" s="17">
        <v>2.0649999999999999</v>
      </c>
      <c r="T56" s="17">
        <v>1.839</v>
      </c>
      <c r="U56" s="17">
        <v>2.3889999999999998</v>
      </c>
      <c r="V56" s="17"/>
      <c r="W56" s="17"/>
      <c r="X56" s="17"/>
      <c r="Y56" s="17"/>
      <c r="Z56" s="17"/>
      <c r="AA56" s="17"/>
      <c r="AB56" s="17"/>
      <c r="AC56" s="17" t="e">
        <f>Tabelle1311[[#This Row],[SD 1]]/Tabelle1311[[#This Row],[Mean Visc. 1 '[mPas']]]</f>
        <v>#DIV/0!</v>
      </c>
      <c r="AD56" s="17"/>
      <c r="AE56" s="17"/>
    </row>
    <row r="57" spans="1:31" ht="15" thickTop="1" x14ac:dyDescent="0.3">
      <c r="A57">
        <v>56</v>
      </c>
      <c r="B57" s="4"/>
      <c r="C57" s="5"/>
      <c r="D57" s="7">
        <v>6</v>
      </c>
      <c r="E57" t="s">
        <v>165</v>
      </c>
      <c r="F57" t="s">
        <v>197</v>
      </c>
      <c r="G57" s="23"/>
      <c r="H57" s="11" t="s">
        <v>198</v>
      </c>
      <c r="I57" s="9" t="s">
        <v>12</v>
      </c>
      <c r="J57" s="7">
        <v>24.1</v>
      </c>
      <c r="K57" s="7">
        <v>10</v>
      </c>
      <c r="L57" s="7">
        <v>30.72</v>
      </c>
      <c r="M57" s="7">
        <v>384</v>
      </c>
      <c r="N57" s="7" t="e">
        <f>[1]!Tabelle1321011121516[[#This Row],[Anzahl Frames]]/[1]!Tabelle1321011121516[[#This Row],[Aufnahmezeit '[s']]]</f>
        <v>#DIV/0!</v>
      </c>
      <c r="O57" s="6" t="e">
        <f>1/[1]!Tabelle1321011121516[[#This Row],[Mean fps ]]</f>
        <v>#DIV/0!</v>
      </c>
      <c r="P57" s="7">
        <v>40</v>
      </c>
      <c r="Q57" s="3"/>
      <c r="R57" s="11"/>
      <c r="S57" s="7">
        <v>2.2490000000000001</v>
      </c>
      <c r="T57" s="7">
        <v>1.83</v>
      </c>
      <c r="U57" s="7">
        <v>2.4900000000000002</v>
      </c>
      <c r="V57" s="7"/>
      <c r="W57" s="7"/>
      <c r="X57" s="7"/>
      <c r="Y57" s="7"/>
      <c r="Z57" s="7"/>
      <c r="AA57" s="7"/>
      <c r="AB57" s="7"/>
      <c r="AC57" s="7" t="e">
        <f>Tabelle1311[[#This Row],[SD 1]]/Tabelle1311[[#This Row],[Mean Visc. 1 '[mPas']]]</f>
        <v>#DIV/0!</v>
      </c>
      <c r="AD57" s="7"/>
      <c r="AE57" s="7"/>
    </row>
    <row r="58" spans="1:31" x14ac:dyDescent="0.3">
      <c r="A58">
        <v>57</v>
      </c>
      <c r="B58" s="4"/>
      <c r="C58" s="5"/>
      <c r="D58" s="7">
        <v>6</v>
      </c>
      <c r="E58" t="s">
        <v>165</v>
      </c>
      <c r="F58" t="s">
        <v>197</v>
      </c>
      <c r="G58" s="23"/>
      <c r="H58" s="11" t="s">
        <v>198</v>
      </c>
      <c r="I58" s="9" t="s">
        <v>12</v>
      </c>
      <c r="J58" s="7">
        <v>24.2</v>
      </c>
      <c r="K58" s="7">
        <v>10</v>
      </c>
      <c r="L58" s="7">
        <v>31.28</v>
      </c>
      <c r="M58" s="7">
        <v>391</v>
      </c>
      <c r="N58" s="7" t="e">
        <f>[1]!Tabelle1321011121516[[#This Row],[Anzahl Frames]]/[1]!Tabelle1321011121516[[#This Row],[Aufnahmezeit '[s']]]</f>
        <v>#DIV/0!</v>
      </c>
      <c r="O58" s="6" t="e">
        <f>1/[1]!Tabelle1321011121516[[#This Row],[Mean fps ]]</f>
        <v>#DIV/0!</v>
      </c>
      <c r="P58" s="7">
        <v>40</v>
      </c>
      <c r="Q58" s="3"/>
      <c r="R58" s="11"/>
      <c r="S58" s="7">
        <v>2.194</v>
      </c>
      <c r="T58" s="7">
        <v>1.6040000000000001</v>
      </c>
      <c r="U58" s="7">
        <v>2.5289999999999999</v>
      </c>
      <c r="V58" s="7"/>
      <c r="W58" s="7"/>
      <c r="X58" s="7"/>
      <c r="Y58" s="7"/>
      <c r="Z58" s="7"/>
      <c r="AA58" s="7"/>
      <c r="AB58" s="7"/>
      <c r="AC58" s="7" t="e">
        <f>Tabelle1311[[#This Row],[SD 1]]/Tabelle1311[[#This Row],[Mean Visc. 1 '[mPas']]]</f>
        <v>#DIV/0!</v>
      </c>
      <c r="AD58" s="7"/>
      <c r="AE58" s="7"/>
    </row>
    <row r="59" spans="1:31" x14ac:dyDescent="0.3">
      <c r="A59">
        <v>58</v>
      </c>
      <c r="B59" s="4"/>
      <c r="C59" s="5"/>
      <c r="D59" s="7">
        <v>6</v>
      </c>
      <c r="E59" t="s">
        <v>165</v>
      </c>
      <c r="F59" t="s">
        <v>197</v>
      </c>
      <c r="G59" s="23"/>
      <c r="H59" s="11" t="s">
        <v>198</v>
      </c>
      <c r="I59" s="9" t="s">
        <v>12</v>
      </c>
      <c r="J59" s="7">
        <v>24.2</v>
      </c>
      <c r="K59" s="7">
        <v>10</v>
      </c>
      <c r="L59" s="7">
        <v>31.2</v>
      </c>
      <c r="M59" s="7">
        <v>390</v>
      </c>
      <c r="N59" s="7" t="e">
        <f>[1]!Tabelle1321011121516[[#This Row],[Anzahl Frames]]/[1]!Tabelle1321011121516[[#This Row],[Aufnahmezeit '[s']]]</f>
        <v>#DIV/0!</v>
      </c>
      <c r="O59" s="6" t="e">
        <f>1/[1]!Tabelle1321011121516[[#This Row],[Mean fps ]]</f>
        <v>#DIV/0!</v>
      </c>
      <c r="P59" s="7">
        <v>40</v>
      </c>
      <c r="Q59" s="3"/>
      <c r="R59" s="11"/>
      <c r="S59" s="7">
        <v>2.625</v>
      </c>
      <c r="T59" s="7">
        <v>2.0550000000000002</v>
      </c>
      <c r="U59" s="7">
        <v>2.831</v>
      </c>
      <c r="V59" s="7"/>
      <c r="W59" s="7"/>
      <c r="X59" s="7"/>
      <c r="Y59" s="7"/>
      <c r="Z59" s="7"/>
      <c r="AA59" s="7"/>
      <c r="AB59" s="7"/>
      <c r="AC59" s="7" t="e">
        <f>Tabelle1311[[#This Row],[SD 1]]/Tabelle1311[[#This Row],[Mean Visc. 1 '[mPas']]]</f>
        <v>#DIV/0!</v>
      </c>
      <c r="AD59" s="7"/>
      <c r="AE59" s="7"/>
    </row>
    <row r="60" spans="1:31" x14ac:dyDescent="0.3">
      <c r="A60">
        <v>59</v>
      </c>
      <c r="B60" s="4"/>
      <c r="C60" s="5"/>
      <c r="D60" s="7">
        <v>6</v>
      </c>
      <c r="E60" t="s">
        <v>165</v>
      </c>
      <c r="F60" t="s">
        <v>197</v>
      </c>
      <c r="G60" s="23"/>
      <c r="H60" s="11" t="s">
        <v>198</v>
      </c>
      <c r="I60" s="9" t="s">
        <v>12</v>
      </c>
      <c r="J60" s="7">
        <v>24.2</v>
      </c>
      <c r="K60" s="7">
        <v>10</v>
      </c>
      <c r="L60" s="7">
        <v>29.92</v>
      </c>
      <c r="M60" s="7">
        <v>375</v>
      </c>
      <c r="N60" s="7" t="e">
        <f>[1]!Tabelle1321011121516[[#This Row],[Anzahl Frames]]/[1]!Tabelle1321011121516[[#This Row],[Aufnahmezeit '[s']]]</f>
        <v>#DIV/0!</v>
      </c>
      <c r="O60" s="6" t="e">
        <f>1/[1]!Tabelle1321011121516[[#This Row],[Mean fps ]]</f>
        <v>#DIV/0!</v>
      </c>
      <c r="P60" s="7">
        <v>40</v>
      </c>
      <c r="Q60" s="3"/>
      <c r="R60" s="11"/>
      <c r="S60" s="7">
        <v>2.4300000000000002</v>
      </c>
      <c r="T60" s="7">
        <v>1.9279999999999999</v>
      </c>
      <c r="U60" s="7">
        <v>2.69</v>
      </c>
      <c r="V60" s="7"/>
      <c r="W60" s="7"/>
      <c r="X60" s="7"/>
      <c r="Y60" s="7"/>
      <c r="Z60" s="7"/>
      <c r="AA60" s="7"/>
      <c r="AB60" s="7"/>
      <c r="AC60" s="7" t="e">
        <f>Tabelle1311[[#This Row],[SD 1]]/Tabelle1311[[#This Row],[Mean Visc. 1 '[mPas']]]</f>
        <v>#DIV/0!</v>
      </c>
      <c r="AD60" s="7"/>
      <c r="AE60" s="7"/>
    </row>
    <row r="61" spans="1:31" s="14" customFormat="1" ht="15" thickBot="1" x14ac:dyDescent="0.35">
      <c r="A61">
        <v>60</v>
      </c>
      <c r="B61" s="15"/>
      <c r="C61" s="16"/>
      <c r="D61" s="7">
        <v>6</v>
      </c>
      <c r="E61" s="14" t="s">
        <v>165</v>
      </c>
      <c r="F61" s="14" t="s">
        <v>197</v>
      </c>
      <c r="G61" s="24"/>
      <c r="H61" s="21" t="s">
        <v>198</v>
      </c>
      <c r="I61" s="19" t="s">
        <v>12</v>
      </c>
      <c r="J61" s="17">
        <v>24.3</v>
      </c>
      <c r="K61" s="17">
        <v>10</v>
      </c>
      <c r="L61" s="17">
        <v>30.56</v>
      </c>
      <c r="M61" s="17">
        <v>382</v>
      </c>
      <c r="N61" s="17" t="e">
        <f>[1]!Tabelle1321011121516[[#This Row],[Anzahl Frames]]/[1]!Tabelle1321011121516[[#This Row],[Aufnahmezeit '[s']]]</f>
        <v>#DIV/0!</v>
      </c>
      <c r="O61" s="25" t="e">
        <f>1/[1]!Tabelle1321011121516[[#This Row],[Mean fps ]]</f>
        <v>#DIV/0!</v>
      </c>
      <c r="P61" s="17">
        <v>40</v>
      </c>
      <c r="Q61" s="20"/>
      <c r="R61" s="21"/>
      <c r="S61" s="17">
        <v>2.4300000000000002</v>
      </c>
      <c r="T61" s="17">
        <v>1.7569999999999999</v>
      </c>
      <c r="U61" s="17">
        <v>2.5419999999999998</v>
      </c>
      <c r="V61" s="17"/>
      <c r="W61" s="17">
        <f>SUM(S52:S61)/10</f>
        <v>2.3096000000000001</v>
      </c>
      <c r="X61" s="17">
        <f t="shared" ref="X61:Y61" si="5">SUM(T52:T61)/10</f>
        <v>1.7679000000000002</v>
      </c>
      <c r="Y61" s="17">
        <f t="shared" si="5"/>
        <v>2.5524999999999998</v>
      </c>
      <c r="Z61" s="17">
        <f>_xlfn.STDEV.S(S52:S61)</f>
        <v>0.21448035393066248</v>
      </c>
      <c r="AA61" s="17">
        <f>_xlfn.STDEV.S(T52:T61)</f>
        <v>0.1599919789656136</v>
      </c>
      <c r="AB61" s="17">
        <f>_xlfn.STDEV.S(U52:U61)</f>
        <v>0.14501513330990282</v>
      </c>
      <c r="AC61" s="17">
        <f>Tabelle1311[[#This Row],[SD 1]]/Tabelle1311[[#This Row],[Mean Visc. 1 '[mPas']]]</f>
        <v>9.2864718535964008E-2</v>
      </c>
      <c r="AD61" s="17">
        <f>Tabelle1311[[#This Row],[SD 2]]/Tabelle1311[[#This Row],[Mean Visc. 2 '[mPas']2]]</f>
        <v>9.0498319455632997E-2</v>
      </c>
      <c r="AE61" s="17">
        <f>Tabelle1311[[#This Row],[SD 3]]/Tabelle1311[[#This Row],[Mean Visc. 3 '[mPas']3]]</f>
        <v>5.6812980728659285E-2</v>
      </c>
    </row>
    <row r="62" spans="1:31" ht="15" thickTop="1" x14ac:dyDescent="0.3">
      <c r="A62">
        <v>61</v>
      </c>
      <c r="B62" s="4"/>
      <c r="C62" s="5"/>
      <c r="D62" s="7">
        <v>7</v>
      </c>
      <c r="E62" t="s">
        <v>165</v>
      </c>
      <c r="F62" t="s">
        <v>199</v>
      </c>
      <c r="G62" s="23"/>
      <c r="H62" s="11" t="s">
        <v>198</v>
      </c>
      <c r="I62" s="9" t="s">
        <v>12</v>
      </c>
      <c r="J62" s="7">
        <v>22.2</v>
      </c>
      <c r="K62" s="7">
        <v>10</v>
      </c>
      <c r="L62" s="7">
        <v>28.93</v>
      </c>
      <c r="M62" s="7">
        <v>366</v>
      </c>
      <c r="N62" s="7" t="e">
        <f>[1]!Tabelle1321011121516[[#This Row],[Anzahl Frames]]/[1]!Tabelle1321011121516[[#This Row],[Aufnahmezeit '[s']]]</f>
        <v>#DIV/0!</v>
      </c>
      <c r="O62" s="6" t="e">
        <f>1/[1]!Tabelle1321011121516[[#This Row],[Mean fps ]]</f>
        <v>#DIV/0!</v>
      </c>
      <c r="P62" s="7">
        <v>40</v>
      </c>
      <c r="Q62" s="3"/>
      <c r="R62" s="11"/>
      <c r="S62" s="7">
        <v>1.4219999999999999</v>
      </c>
      <c r="T62" s="7">
        <v>1.159</v>
      </c>
      <c r="U62" s="7">
        <v>1.8779999999999999</v>
      </c>
      <c r="V62" s="7"/>
      <c r="W62" s="7"/>
      <c r="X62" s="7"/>
      <c r="Y62" s="7"/>
      <c r="Z62" s="7"/>
      <c r="AA62" s="7"/>
      <c r="AB62" s="7"/>
      <c r="AC62" s="7" t="e">
        <f>Tabelle1311[[#This Row],[SD 1]]/Tabelle1311[[#This Row],[Mean Visc. 1 '[mPas']]]</f>
        <v>#DIV/0!</v>
      </c>
      <c r="AD62" s="7"/>
      <c r="AE62" s="7"/>
    </row>
    <row r="63" spans="1:31" x14ac:dyDescent="0.3">
      <c r="A63">
        <v>62</v>
      </c>
      <c r="B63" s="4"/>
      <c r="C63" s="5"/>
      <c r="D63" s="7">
        <v>7</v>
      </c>
      <c r="E63" t="s">
        <v>165</v>
      </c>
      <c r="F63" t="s">
        <v>199</v>
      </c>
      <c r="G63" s="23"/>
      <c r="H63" s="11" t="s">
        <v>198</v>
      </c>
      <c r="I63" s="9" t="s">
        <v>12</v>
      </c>
      <c r="J63" s="7">
        <v>22.4</v>
      </c>
      <c r="K63" s="7">
        <v>10</v>
      </c>
      <c r="L63" s="7">
        <v>32.32</v>
      </c>
      <c r="M63" s="7">
        <v>404</v>
      </c>
      <c r="N63" s="7" t="e">
        <f>[1]!Tabelle1321011121516[[#This Row],[Anzahl Frames]]/[1]!Tabelle1321011121516[[#This Row],[Aufnahmezeit '[s']]]</f>
        <v>#DIV/0!</v>
      </c>
      <c r="O63" s="6" t="e">
        <f>1/[1]!Tabelle1321011121516[[#This Row],[Mean fps ]]</f>
        <v>#DIV/0!</v>
      </c>
      <c r="P63" s="7">
        <v>40</v>
      </c>
      <c r="Q63" s="3"/>
      <c r="R63" s="11"/>
      <c r="S63" s="7">
        <v>1.3640000000000001</v>
      </c>
      <c r="T63" s="7">
        <v>1.2050000000000001</v>
      </c>
      <c r="U63" s="7">
        <v>1.887</v>
      </c>
      <c r="V63" s="7"/>
      <c r="W63" s="7"/>
      <c r="X63" s="7"/>
      <c r="Y63" s="7"/>
      <c r="Z63" s="7"/>
      <c r="AA63" s="7"/>
      <c r="AB63" s="7"/>
      <c r="AC63" s="7" t="e">
        <f>Tabelle1311[[#This Row],[SD 1]]/Tabelle1311[[#This Row],[Mean Visc. 1 '[mPas']]]</f>
        <v>#DIV/0!</v>
      </c>
      <c r="AD63" s="7"/>
      <c r="AE63" s="7"/>
    </row>
    <row r="64" spans="1:31" x14ac:dyDescent="0.3">
      <c r="A64">
        <v>63</v>
      </c>
      <c r="B64" s="4"/>
      <c r="C64" s="5"/>
      <c r="D64" s="7">
        <v>7</v>
      </c>
      <c r="E64" t="s">
        <v>165</v>
      </c>
      <c r="F64" t="s">
        <v>199</v>
      </c>
      <c r="G64" s="23"/>
      <c r="H64" s="11" t="s">
        <v>198</v>
      </c>
      <c r="I64" s="9" t="s">
        <v>12</v>
      </c>
      <c r="J64" s="7">
        <v>22.5</v>
      </c>
      <c r="K64" s="7">
        <v>10</v>
      </c>
      <c r="L64" s="7">
        <v>29.92</v>
      </c>
      <c r="M64" s="7">
        <v>375</v>
      </c>
      <c r="N64" s="7" t="e">
        <f>[1]!Tabelle1321011121516[[#This Row],[Anzahl Frames]]/[1]!Tabelle1321011121516[[#This Row],[Aufnahmezeit '[s']]]</f>
        <v>#DIV/0!</v>
      </c>
      <c r="O64" s="6" t="e">
        <f>1/[1]!Tabelle1321011121516[[#This Row],[Mean fps ]]</f>
        <v>#DIV/0!</v>
      </c>
      <c r="P64" s="7">
        <v>40</v>
      </c>
      <c r="Q64" s="3"/>
      <c r="R64" s="11"/>
      <c r="S64" s="7">
        <v>1.4970000000000001</v>
      </c>
      <c r="T64" s="7">
        <v>1.28</v>
      </c>
      <c r="U64" s="7">
        <v>2.004</v>
      </c>
      <c r="V64" s="7"/>
      <c r="W64" s="7"/>
      <c r="X64" s="7"/>
      <c r="Y64" s="7"/>
      <c r="Z64" s="7"/>
      <c r="AA64" s="7"/>
      <c r="AB64" s="7"/>
      <c r="AC64" s="7" t="e">
        <f>Tabelle1311[[#This Row],[SD 1]]/Tabelle1311[[#This Row],[Mean Visc. 1 '[mPas']]]</f>
        <v>#DIV/0!</v>
      </c>
      <c r="AD64" s="7"/>
      <c r="AE64" s="7"/>
    </row>
    <row r="65" spans="1:31" x14ac:dyDescent="0.3">
      <c r="A65">
        <v>64</v>
      </c>
      <c r="B65" s="4"/>
      <c r="C65" s="5"/>
      <c r="D65" s="7">
        <v>7</v>
      </c>
      <c r="E65" t="s">
        <v>165</v>
      </c>
      <c r="F65" t="s">
        <v>199</v>
      </c>
      <c r="G65" s="23"/>
      <c r="H65" s="11" t="s">
        <v>198</v>
      </c>
      <c r="I65" s="9" t="s">
        <v>12</v>
      </c>
      <c r="J65" s="7">
        <v>22.7</v>
      </c>
      <c r="K65" s="7">
        <v>10</v>
      </c>
      <c r="L65" s="7">
        <v>33.53</v>
      </c>
      <c r="M65" s="7">
        <v>419</v>
      </c>
      <c r="N65" s="7" t="e">
        <f>[1]!Tabelle1321011121516[[#This Row],[Anzahl Frames]]/[1]!Tabelle1321011121516[[#This Row],[Aufnahmezeit '[s']]]</f>
        <v>#DIV/0!</v>
      </c>
      <c r="O65" s="6" t="e">
        <f>1/[1]!Tabelle1321011121516[[#This Row],[Mean fps ]]</f>
        <v>#DIV/0!</v>
      </c>
      <c r="P65" s="7">
        <v>40</v>
      </c>
      <c r="Q65" s="3"/>
      <c r="R65" s="11"/>
      <c r="S65" s="7">
        <v>1.4339999999999999</v>
      </c>
      <c r="T65" s="7">
        <v>1.206</v>
      </c>
      <c r="U65" s="7">
        <v>1.895</v>
      </c>
      <c r="V65" s="7"/>
      <c r="W65" s="7"/>
      <c r="X65" s="7"/>
      <c r="Y65" s="7"/>
      <c r="Z65" s="7"/>
      <c r="AA65" s="7"/>
      <c r="AB65" s="7"/>
      <c r="AC65" s="7" t="e">
        <f>Tabelle1311[[#This Row],[SD 1]]/Tabelle1311[[#This Row],[Mean Visc. 1 '[mPas']]]</f>
        <v>#DIV/0!</v>
      </c>
      <c r="AD65" s="7"/>
      <c r="AE65" s="7"/>
    </row>
    <row r="66" spans="1:31" ht="15" thickBot="1" x14ac:dyDescent="0.35">
      <c r="A66">
        <v>65</v>
      </c>
      <c r="B66" s="15"/>
      <c r="C66" s="16"/>
      <c r="D66" s="7">
        <v>7</v>
      </c>
      <c r="E66" t="s">
        <v>165</v>
      </c>
      <c r="F66" t="s">
        <v>199</v>
      </c>
      <c r="G66" s="24"/>
      <c r="H66" s="21" t="s">
        <v>198</v>
      </c>
      <c r="I66" s="9" t="s">
        <v>12</v>
      </c>
      <c r="J66" s="17">
        <v>22.8</v>
      </c>
      <c r="K66" s="17">
        <v>10</v>
      </c>
      <c r="L66" s="17">
        <v>30.66</v>
      </c>
      <c r="M66" s="17">
        <v>383</v>
      </c>
      <c r="N66" s="17" t="e">
        <f>[1]!Tabelle1321011121516[[#This Row],[Anzahl Frames]]/[1]!Tabelle1321011121516[[#This Row],[Aufnahmezeit '[s']]]</f>
        <v>#DIV/0!</v>
      </c>
      <c r="O66" s="25" t="e">
        <f>1/[1]!Tabelle1321011121516[[#This Row],[Mean fps ]]</f>
        <v>#DIV/0!</v>
      </c>
      <c r="P66" s="17">
        <v>40</v>
      </c>
      <c r="Q66" s="20"/>
      <c r="R66" s="21"/>
      <c r="S66" s="17">
        <v>1.508</v>
      </c>
      <c r="T66" s="17">
        <v>1.3380000000000001</v>
      </c>
      <c r="U66" s="17">
        <v>1.9430000000000001</v>
      </c>
      <c r="V66" s="17"/>
      <c r="W66" s="17"/>
      <c r="X66" s="17"/>
      <c r="Y66" s="17"/>
      <c r="Z66" s="17"/>
      <c r="AA66" s="17"/>
      <c r="AB66" s="17"/>
      <c r="AC66" s="17" t="e">
        <f>Tabelle1311[[#This Row],[SD 1]]/Tabelle1311[[#This Row],[Mean Visc. 1 '[mPas']]]</f>
        <v>#DIV/0!</v>
      </c>
      <c r="AD66" s="17"/>
      <c r="AE66" s="17"/>
    </row>
    <row r="67" spans="1:31" ht="15" thickTop="1" x14ac:dyDescent="0.3">
      <c r="A67">
        <v>66</v>
      </c>
      <c r="B67" s="4"/>
      <c r="C67" s="5"/>
      <c r="D67" s="7">
        <v>7</v>
      </c>
      <c r="E67" t="s">
        <v>165</v>
      </c>
      <c r="F67" t="s">
        <v>199</v>
      </c>
      <c r="G67" s="23"/>
      <c r="H67" s="11" t="s">
        <v>198</v>
      </c>
      <c r="I67" s="9" t="s">
        <v>12</v>
      </c>
      <c r="J67" s="7">
        <v>23.2</v>
      </c>
      <c r="K67" s="7">
        <v>10</v>
      </c>
      <c r="L67" s="7">
        <v>29.52</v>
      </c>
      <c r="M67" s="7">
        <v>370</v>
      </c>
      <c r="N67" s="7" t="e">
        <f>[1]!Tabelle1321011121516[[#This Row],[Anzahl Frames]]/[1]!Tabelle1321011121516[[#This Row],[Aufnahmezeit '[s']]]</f>
        <v>#DIV/0!</v>
      </c>
      <c r="O67" s="6" t="e">
        <f>1/[1]!Tabelle1321011121516[[#This Row],[Mean fps ]]</f>
        <v>#DIV/0!</v>
      </c>
      <c r="P67" s="7">
        <v>40</v>
      </c>
      <c r="Q67" s="3"/>
      <c r="R67" s="11"/>
      <c r="S67" s="7">
        <v>1.454</v>
      </c>
      <c r="T67" s="7">
        <v>1.2929999999999999</v>
      </c>
      <c r="U67" s="7">
        <v>1.85</v>
      </c>
      <c r="V67" s="7"/>
      <c r="W67" s="7"/>
      <c r="X67" s="7"/>
      <c r="Y67" s="7"/>
      <c r="Z67" s="7"/>
      <c r="AA67" s="7"/>
      <c r="AB67" s="7"/>
      <c r="AC67" s="7" t="e">
        <f>Tabelle1311[[#This Row],[SD 1]]/Tabelle1311[[#This Row],[Mean Visc. 1 '[mPas']]]</f>
        <v>#DIV/0!</v>
      </c>
      <c r="AD67" s="7"/>
      <c r="AE67" s="7"/>
    </row>
    <row r="68" spans="1:31" x14ac:dyDescent="0.3">
      <c r="A68">
        <v>67</v>
      </c>
      <c r="B68" s="4"/>
      <c r="C68" s="5"/>
      <c r="D68" s="7">
        <v>7</v>
      </c>
      <c r="E68" t="s">
        <v>165</v>
      </c>
      <c r="F68" t="s">
        <v>199</v>
      </c>
      <c r="G68" s="23"/>
      <c r="H68" s="11" t="s">
        <v>198</v>
      </c>
      <c r="I68" s="9" t="s">
        <v>12</v>
      </c>
      <c r="J68" s="7">
        <v>23.3</v>
      </c>
      <c r="K68" s="7">
        <v>10</v>
      </c>
      <c r="L68" s="7">
        <v>31.2</v>
      </c>
      <c r="M68" s="7">
        <v>390</v>
      </c>
      <c r="N68" s="7" t="e">
        <f>[1]!Tabelle1321011121516[[#This Row],[Anzahl Frames]]/[1]!Tabelle1321011121516[[#This Row],[Aufnahmezeit '[s']]]</f>
        <v>#DIV/0!</v>
      </c>
      <c r="O68" s="6" t="e">
        <f>1/[1]!Tabelle1321011121516[[#This Row],[Mean fps ]]</f>
        <v>#DIV/0!</v>
      </c>
      <c r="P68" s="7">
        <v>40</v>
      </c>
      <c r="Q68" s="3"/>
      <c r="R68" s="11"/>
      <c r="S68" s="7">
        <v>1.5629999999999999</v>
      </c>
      <c r="T68" s="7">
        <v>1.3360000000000001</v>
      </c>
      <c r="U68" s="7">
        <v>2.0009999999999999</v>
      </c>
      <c r="V68" s="7"/>
      <c r="W68" s="7"/>
      <c r="X68" s="7"/>
      <c r="Y68" s="7"/>
      <c r="Z68" s="7"/>
      <c r="AA68" s="7"/>
      <c r="AB68" s="7"/>
      <c r="AC68" s="7" t="e">
        <f>Tabelle1311[[#This Row],[SD 1]]/Tabelle1311[[#This Row],[Mean Visc. 1 '[mPas']]]</f>
        <v>#DIV/0!</v>
      </c>
      <c r="AD68" s="7"/>
      <c r="AE68" s="7"/>
    </row>
    <row r="69" spans="1:31" x14ac:dyDescent="0.3">
      <c r="A69">
        <v>68</v>
      </c>
      <c r="B69" s="4"/>
      <c r="C69" s="5"/>
      <c r="D69" s="7">
        <v>7</v>
      </c>
      <c r="E69" t="s">
        <v>165</v>
      </c>
      <c r="F69" t="s">
        <v>199</v>
      </c>
      <c r="G69" s="23"/>
      <c r="H69" s="11" t="s">
        <v>198</v>
      </c>
      <c r="I69" s="9" t="s">
        <v>12</v>
      </c>
      <c r="J69" s="7">
        <v>23.4</v>
      </c>
      <c r="K69" s="7">
        <v>10</v>
      </c>
      <c r="L69" s="7">
        <v>31.02</v>
      </c>
      <c r="M69" s="7">
        <v>384</v>
      </c>
      <c r="N69" s="7" t="e">
        <f>[1]!Tabelle1321011121516[[#This Row],[Anzahl Frames]]/[1]!Tabelle1321011121516[[#This Row],[Aufnahmezeit '[s']]]</f>
        <v>#DIV/0!</v>
      </c>
      <c r="O69" s="6" t="e">
        <f>1/[1]!Tabelle1321011121516[[#This Row],[Mean fps ]]</f>
        <v>#DIV/0!</v>
      </c>
      <c r="P69" s="7">
        <v>40</v>
      </c>
      <c r="Q69" s="3"/>
      <c r="R69" s="11"/>
      <c r="S69" s="7">
        <v>1.4550000000000001</v>
      </c>
      <c r="T69" s="7">
        <v>1.2490000000000001</v>
      </c>
      <c r="U69" s="7">
        <v>1.954</v>
      </c>
      <c r="V69" s="7"/>
      <c r="W69" s="7"/>
      <c r="X69" s="7"/>
      <c r="Y69" s="7"/>
      <c r="Z69" s="7"/>
      <c r="AA69" s="7"/>
      <c r="AB69" s="7"/>
      <c r="AC69" s="7" t="e">
        <f>Tabelle1311[[#This Row],[SD 1]]/Tabelle1311[[#This Row],[Mean Visc. 1 '[mPas']]]</f>
        <v>#DIV/0!</v>
      </c>
      <c r="AD69" s="7"/>
      <c r="AE69" s="7"/>
    </row>
    <row r="70" spans="1:31" x14ac:dyDescent="0.3">
      <c r="A70">
        <v>69</v>
      </c>
      <c r="B70" s="4"/>
      <c r="C70" s="5"/>
      <c r="D70" s="7">
        <v>7</v>
      </c>
      <c r="E70" t="s">
        <v>165</v>
      </c>
      <c r="F70" t="s">
        <v>199</v>
      </c>
      <c r="G70" s="23"/>
      <c r="H70" s="11" t="s">
        <v>198</v>
      </c>
      <c r="I70" s="9" t="s">
        <v>12</v>
      </c>
      <c r="J70" s="7">
        <v>23.5</v>
      </c>
      <c r="K70" s="7">
        <v>10</v>
      </c>
      <c r="L70" s="7">
        <v>30.4</v>
      </c>
      <c r="M70" s="7">
        <v>381</v>
      </c>
      <c r="N70" s="7" t="e">
        <f>[1]!Tabelle1321011121516[[#This Row],[Anzahl Frames]]/[1]!Tabelle1321011121516[[#This Row],[Aufnahmezeit '[s']]]</f>
        <v>#DIV/0!</v>
      </c>
      <c r="O70" s="6" t="e">
        <f>1/[1]!Tabelle1321011121516[[#This Row],[Mean fps ]]</f>
        <v>#DIV/0!</v>
      </c>
      <c r="P70" s="7">
        <v>40</v>
      </c>
      <c r="Q70" s="3"/>
      <c r="R70" s="11"/>
      <c r="S70" s="7">
        <v>1.496</v>
      </c>
      <c r="T70" s="7">
        <v>1.2789999999999999</v>
      </c>
      <c r="U70" s="7">
        <v>1.9530000000000001</v>
      </c>
      <c r="V70" s="7"/>
      <c r="W70" s="7"/>
      <c r="X70" s="7"/>
      <c r="Y70" s="7"/>
      <c r="Z70" s="7"/>
      <c r="AA70" s="7"/>
      <c r="AB70" s="7"/>
      <c r="AC70" s="7" t="e">
        <f>Tabelle1311[[#This Row],[SD 1]]/Tabelle1311[[#This Row],[Mean Visc. 1 '[mPas']]]</f>
        <v>#DIV/0!</v>
      </c>
      <c r="AD70" s="7"/>
      <c r="AE70" s="7"/>
    </row>
    <row r="71" spans="1:31" x14ac:dyDescent="0.3">
      <c r="A71">
        <v>70</v>
      </c>
      <c r="B71" s="4"/>
      <c r="C71" s="5"/>
      <c r="D71" s="7">
        <v>7</v>
      </c>
      <c r="E71" t="s">
        <v>165</v>
      </c>
      <c r="F71" t="s">
        <v>199</v>
      </c>
      <c r="G71" s="23"/>
      <c r="H71" s="11" t="s">
        <v>198</v>
      </c>
      <c r="I71" s="9" t="s">
        <v>12</v>
      </c>
      <c r="J71" s="7">
        <v>23.7</v>
      </c>
      <c r="K71" s="7">
        <v>10</v>
      </c>
      <c r="L71" s="7">
        <v>30.8</v>
      </c>
      <c r="M71" s="7">
        <v>385</v>
      </c>
      <c r="N71" s="7" t="e">
        <f>[1]!Tabelle1321011121516[[#This Row],[Anzahl Frames]]/[1]!Tabelle1321011121516[[#This Row],[Aufnahmezeit '[s']]]</f>
        <v>#DIV/0!</v>
      </c>
      <c r="O71" s="6" t="e">
        <f>1/[1]!Tabelle1321011121516[[#This Row],[Mean fps ]]</f>
        <v>#DIV/0!</v>
      </c>
      <c r="P71" s="7">
        <v>40</v>
      </c>
      <c r="Q71" s="3"/>
      <c r="R71" s="11"/>
      <c r="S71" s="7">
        <v>1.536</v>
      </c>
      <c r="T71" s="7">
        <v>1.3520000000000001</v>
      </c>
      <c r="U71" s="7">
        <v>1.86</v>
      </c>
      <c r="V71" s="7"/>
      <c r="W71" s="7">
        <f>SUM(S62:S71)/10</f>
        <v>1.4729000000000001</v>
      </c>
      <c r="X71" s="7">
        <f t="shared" ref="X71:Y71" si="6">SUM(T62:T71)/10</f>
        <v>1.2697000000000001</v>
      </c>
      <c r="Y71" s="7">
        <f t="shared" si="6"/>
        <v>1.9224999999999999</v>
      </c>
      <c r="Z71" s="7">
        <f>_xlfn.STDEV.S(S62:S71)</f>
        <v>5.8771591776980131E-2</v>
      </c>
      <c r="AA71" s="7">
        <f>_xlfn.STDEV.S(T62:T71)</f>
        <v>6.4546365763947816E-2</v>
      </c>
      <c r="AB71" s="7">
        <f>_xlfn.STDEV.S(U62:U71)</f>
        <v>5.608178551603598E-2</v>
      </c>
      <c r="AC71" s="7">
        <f>Tabelle1311[[#This Row],[SD 1]]/Tabelle1311[[#This Row],[Mean Visc. 1 '[mPas']]]</f>
        <v>3.990195653267712E-2</v>
      </c>
      <c r="AD71" s="7">
        <f>Tabelle1311[[#This Row],[SD 2]]/Tabelle1311[[#This Row],[Mean Visc. 2 '[mPas']2]]</f>
        <v>5.0835918535045925E-2</v>
      </c>
      <c r="AE71" s="7">
        <f>Tabelle1311[[#This Row],[SD 3]]/Tabelle1311[[#This Row],[Mean Visc. 3 '[mPas']3]]</f>
        <v>2.91712798522944E-2</v>
      </c>
    </row>
    <row r="72" spans="1:31" x14ac:dyDescent="0.3">
      <c r="A72">
        <v>71</v>
      </c>
      <c r="B72" s="4"/>
      <c r="C72" s="5"/>
      <c r="D72" s="7">
        <v>8</v>
      </c>
      <c r="E72" t="s">
        <v>173</v>
      </c>
      <c r="F72" t="s">
        <v>192</v>
      </c>
      <c r="G72" s="23"/>
      <c r="H72" s="11" t="s">
        <v>198</v>
      </c>
      <c r="I72" s="9" t="s">
        <v>12</v>
      </c>
      <c r="J72" s="7">
        <v>23</v>
      </c>
      <c r="K72" s="7">
        <v>10</v>
      </c>
      <c r="L72" s="7">
        <v>31.36</v>
      </c>
      <c r="M72" s="7">
        <v>392</v>
      </c>
      <c r="N72" s="7" t="e">
        <f>[1]!Tabelle1321011121516[[#This Row],[Anzahl Frames]]/[1]!Tabelle1321011121516[[#This Row],[Aufnahmezeit '[s']]]</f>
        <v>#DIV/0!</v>
      </c>
      <c r="O72" s="6" t="e">
        <f>1/[1]!Tabelle1321011121516[[#This Row],[Mean fps ]]</f>
        <v>#DIV/0!</v>
      </c>
      <c r="P72" s="7">
        <v>40</v>
      </c>
      <c r="Q72" s="3"/>
      <c r="R72" s="11"/>
      <c r="S72" s="7">
        <v>1.2090000000000001</v>
      </c>
      <c r="T72" s="7">
        <v>1.085</v>
      </c>
      <c r="U72" s="7">
        <v>1.6950000000000001</v>
      </c>
      <c r="V72" s="7"/>
      <c r="W72" s="7"/>
      <c r="X72" s="7"/>
      <c r="Y72" s="7"/>
      <c r="Z72" s="7"/>
      <c r="AA72" s="7"/>
      <c r="AB72" s="7"/>
      <c r="AC72" s="7" t="e">
        <f>Tabelle1311[[#This Row],[SD 1]]/Tabelle1311[[#This Row],[Mean Visc. 1 '[mPas']]]</f>
        <v>#DIV/0!</v>
      </c>
      <c r="AD72" s="7" t="e">
        <f>[1]!Tabelle1326[[#This Row],[SD 2]]/[1]!Tabelle1326[[#This Row],[Mean Visc. 2 '[mPas']2]]</f>
        <v>#DIV/0!</v>
      </c>
      <c r="AE72" s="7" t="e">
        <f>[1]!Tabelle1326[[#This Row],[SD 3]]/[1]!Tabelle1326[[#This Row],[Mean Visc. 3 '[mPas']3]]</f>
        <v>#DIV/0!</v>
      </c>
    </row>
    <row r="73" spans="1:31" x14ac:dyDescent="0.3">
      <c r="A73">
        <v>72</v>
      </c>
      <c r="B73" s="4"/>
      <c r="C73" s="5"/>
      <c r="D73" s="7">
        <v>8</v>
      </c>
      <c r="E73" t="s">
        <v>173</v>
      </c>
      <c r="F73" t="s">
        <v>192</v>
      </c>
      <c r="G73" s="23"/>
      <c r="H73" s="11" t="s">
        <v>198</v>
      </c>
      <c r="I73" s="9" t="s">
        <v>12</v>
      </c>
      <c r="J73" s="7">
        <v>23.1</v>
      </c>
      <c r="K73" s="7">
        <v>10</v>
      </c>
      <c r="L73" s="7">
        <v>31.27</v>
      </c>
      <c r="M73" s="7">
        <v>391</v>
      </c>
      <c r="N73" s="7" t="e">
        <f>[1]!Tabelle1321011121516[[#This Row],[Anzahl Frames]]/[1]!Tabelle1321011121516[[#This Row],[Aufnahmezeit '[s']]]</f>
        <v>#DIV/0!</v>
      </c>
      <c r="O73" s="6" t="e">
        <f>1/[1]!Tabelle1321011121516[[#This Row],[Mean fps ]]</f>
        <v>#DIV/0!</v>
      </c>
      <c r="P73" s="7">
        <v>40</v>
      </c>
      <c r="Q73" s="3"/>
      <c r="R73" s="11"/>
      <c r="S73" s="7">
        <v>1.1479999999999999</v>
      </c>
      <c r="T73" s="7">
        <v>0.91600000000000004</v>
      </c>
      <c r="U73" s="7">
        <v>1.464</v>
      </c>
      <c r="V73" s="7"/>
      <c r="W73" s="7"/>
      <c r="X73" s="7"/>
      <c r="Y73" s="7"/>
      <c r="Z73" s="7"/>
      <c r="AA73" s="7"/>
      <c r="AB73" s="7"/>
      <c r="AC73" s="7" t="e">
        <f>Tabelle1311[[#This Row],[SD 1]]/Tabelle1311[[#This Row],[Mean Visc. 1 '[mPas']]]</f>
        <v>#DIV/0!</v>
      </c>
      <c r="AD73" s="7" t="e">
        <f>[1]!Tabelle1326[[#This Row],[SD 2]]/[1]!Tabelle1326[[#This Row],[Mean Visc. 2 '[mPas']2]]</f>
        <v>#DIV/0!</v>
      </c>
      <c r="AE73" s="7" t="e">
        <f>[1]!Tabelle1326[[#This Row],[SD 3]]/[1]!Tabelle1326[[#This Row],[Mean Visc. 3 '[mPas']3]]</f>
        <v>#DIV/0!</v>
      </c>
    </row>
    <row r="74" spans="1:31" x14ac:dyDescent="0.3">
      <c r="A74">
        <v>73</v>
      </c>
      <c r="B74" s="4"/>
      <c r="C74" s="5"/>
      <c r="D74" s="7">
        <v>8</v>
      </c>
      <c r="E74" t="s">
        <v>173</v>
      </c>
      <c r="F74" t="s">
        <v>192</v>
      </c>
      <c r="G74" s="23"/>
      <c r="H74" s="11" t="s">
        <v>198</v>
      </c>
      <c r="I74" s="9" t="s">
        <v>12</v>
      </c>
      <c r="J74" s="7">
        <v>23.2</v>
      </c>
      <c r="K74" s="7">
        <v>10</v>
      </c>
      <c r="L74" s="7">
        <v>30.48</v>
      </c>
      <c r="M74" s="7">
        <v>381</v>
      </c>
      <c r="N74" s="7" t="e">
        <f>[1]!Tabelle1321011121516[[#This Row],[Anzahl Frames]]/[1]!Tabelle1321011121516[[#This Row],[Aufnahmezeit '[s']]]</f>
        <v>#DIV/0!</v>
      </c>
      <c r="O74" s="6" t="e">
        <f>1/[1]!Tabelle1321011121516[[#This Row],[Mean fps ]]</f>
        <v>#DIV/0!</v>
      </c>
      <c r="P74" s="7">
        <v>40</v>
      </c>
      <c r="Q74" s="3"/>
      <c r="R74" s="11"/>
      <c r="S74" s="7">
        <v>1.1870000000000001</v>
      </c>
      <c r="T74" s="7">
        <v>0.92400000000000004</v>
      </c>
      <c r="U74" s="7">
        <v>1.6679999999999999</v>
      </c>
      <c r="V74" s="7"/>
      <c r="W74" s="7"/>
      <c r="X74" s="7"/>
      <c r="Y74" s="7"/>
      <c r="Z74" s="7"/>
      <c r="AA74" s="7"/>
      <c r="AB74" s="7"/>
      <c r="AC74" s="7" t="e">
        <f>Tabelle1311[[#This Row],[SD 1]]/Tabelle1311[[#This Row],[Mean Visc. 1 '[mPas']]]</f>
        <v>#DIV/0!</v>
      </c>
      <c r="AD74" s="7" t="e">
        <f>[1]!Tabelle1326[[#This Row],[SD 2]]/[1]!Tabelle1326[[#This Row],[Mean Visc. 2 '[mPas']2]]</f>
        <v>#DIV/0!</v>
      </c>
      <c r="AE74" s="7" t="e">
        <f>[1]!Tabelle1326[[#This Row],[SD 3]]/[1]!Tabelle1326[[#This Row],[Mean Visc. 3 '[mPas']3]]</f>
        <v>#DIV/0!</v>
      </c>
    </row>
    <row r="75" spans="1:31" x14ac:dyDescent="0.3">
      <c r="A75">
        <v>74</v>
      </c>
      <c r="B75" s="4"/>
      <c r="C75" s="5"/>
      <c r="D75" s="7">
        <v>8</v>
      </c>
      <c r="E75" t="s">
        <v>173</v>
      </c>
      <c r="F75" t="s">
        <v>192</v>
      </c>
      <c r="G75" s="23"/>
      <c r="H75" s="11" t="s">
        <v>198</v>
      </c>
      <c r="I75" s="9" t="s">
        <v>12</v>
      </c>
      <c r="J75" s="7">
        <v>23.3</v>
      </c>
      <c r="K75" s="7">
        <v>10</v>
      </c>
      <c r="L75" s="7">
        <v>30.8</v>
      </c>
      <c r="M75" s="7">
        <v>385</v>
      </c>
      <c r="N75" s="7" t="e">
        <f>[1]!Tabelle1321011121516[[#This Row],[Anzahl Frames]]/[1]!Tabelle1321011121516[[#This Row],[Aufnahmezeit '[s']]]</f>
        <v>#DIV/0!</v>
      </c>
      <c r="O75" s="6" t="e">
        <f>1/[1]!Tabelle1321011121516[[#This Row],[Mean fps ]]</f>
        <v>#DIV/0!</v>
      </c>
      <c r="P75" s="7">
        <v>40</v>
      </c>
      <c r="Q75" s="3"/>
      <c r="R75" s="11"/>
      <c r="S75" s="7">
        <v>1.1739999999999999</v>
      </c>
      <c r="T75" s="7">
        <v>1.0269999999999999</v>
      </c>
      <c r="U75" s="7">
        <v>1.64</v>
      </c>
      <c r="V75" s="7"/>
      <c r="W75" s="7"/>
      <c r="X75" s="7"/>
      <c r="Y75" s="7"/>
      <c r="Z75" s="7"/>
      <c r="AA75" s="7"/>
      <c r="AB75" s="7"/>
      <c r="AC75" s="7" t="e">
        <f>Tabelle1311[[#This Row],[SD 1]]/Tabelle1311[[#This Row],[Mean Visc. 1 '[mPas']]]</f>
        <v>#DIV/0!</v>
      </c>
      <c r="AD75" s="7" t="e">
        <f>[1]!Tabelle1326[[#This Row],[SD 2]]/[1]!Tabelle1326[[#This Row],[Mean Visc. 2 '[mPas']2]]</f>
        <v>#DIV/0!</v>
      </c>
      <c r="AE75" s="7" t="e">
        <f>[1]!Tabelle1326[[#This Row],[SD 3]]/[1]!Tabelle1326[[#This Row],[Mean Visc. 3 '[mPas']3]]</f>
        <v>#DIV/0!</v>
      </c>
    </row>
    <row r="76" spans="1:31" ht="15" thickBot="1" x14ac:dyDescent="0.35">
      <c r="A76">
        <v>75</v>
      </c>
      <c r="B76" s="4"/>
      <c r="C76" s="16"/>
      <c r="D76" s="7">
        <v>8</v>
      </c>
      <c r="E76" t="s">
        <v>173</v>
      </c>
      <c r="F76" t="s">
        <v>192</v>
      </c>
      <c r="G76" s="24"/>
      <c r="H76" s="21" t="s">
        <v>198</v>
      </c>
      <c r="I76" s="9" t="s">
        <v>12</v>
      </c>
      <c r="J76" s="17">
        <v>23.3</v>
      </c>
      <c r="K76" s="17">
        <v>10</v>
      </c>
      <c r="L76" s="17">
        <v>30.48</v>
      </c>
      <c r="M76" s="17">
        <v>382</v>
      </c>
      <c r="N76" s="17" t="e">
        <f>[1]!Tabelle1321011121516[[#This Row],[Anzahl Frames]]/[1]!Tabelle1321011121516[[#This Row],[Aufnahmezeit '[s']]]</f>
        <v>#DIV/0!</v>
      </c>
      <c r="O76" s="25" t="e">
        <f>1/[1]!Tabelle1321011121516[[#This Row],[Mean fps ]]</f>
        <v>#DIV/0!</v>
      </c>
      <c r="P76" s="17">
        <v>40</v>
      </c>
      <c r="Q76" s="20"/>
      <c r="R76" s="21"/>
      <c r="S76" s="17">
        <v>1.1140000000000001</v>
      </c>
      <c r="T76" s="17">
        <v>0.85299999999999998</v>
      </c>
      <c r="U76" s="17">
        <v>1.73</v>
      </c>
      <c r="V76" s="17"/>
      <c r="W76" s="17"/>
      <c r="X76" s="17"/>
      <c r="Y76" s="17"/>
      <c r="Z76" s="17"/>
      <c r="AA76" s="17"/>
      <c r="AB76" s="17"/>
      <c r="AC76" s="17" t="e">
        <f>Tabelle1311[[#This Row],[SD 1]]/Tabelle1311[[#This Row],[Mean Visc. 1 '[mPas']]]</f>
        <v>#DIV/0!</v>
      </c>
      <c r="AD76" s="17" t="e">
        <f>[1]!Tabelle1326[[#This Row],[SD 2]]/[1]!Tabelle1326[[#This Row],[Mean Visc. 2 '[mPas']2]]</f>
        <v>#DIV/0!</v>
      </c>
      <c r="AE76" s="17" t="e">
        <f>[1]!Tabelle1326[[#This Row],[SD 3]]/[1]!Tabelle1326[[#This Row],[Mean Visc. 3 '[mPas']3]]</f>
        <v>#DIV/0!</v>
      </c>
    </row>
    <row r="77" spans="1:31" ht="15" thickTop="1" x14ac:dyDescent="0.3">
      <c r="A77">
        <v>76</v>
      </c>
      <c r="B77" s="4"/>
      <c r="C77" s="5"/>
      <c r="D77" s="7">
        <v>8</v>
      </c>
      <c r="E77" t="s">
        <v>173</v>
      </c>
      <c r="F77" t="s">
        <v>192</v>
      </c>
      <c r="G77" s="23"/>
      <c r="H77" s="11" t="s">
        <v>198</v>
      </c>
      <c r="I77" s="9" t="s">
        <v>12</v>
      </c>
      <c r="J77" s="7">
        <v>23.4</v>
      </c>
      <c r="K77" s="7">
        <v>10</v>
      </c>
      <c r="L77" s="7">
        <v>30.72</v>
      </c>
      <c r="M77" s="7">
        <v>385</v>
      </c>
      <c r="N77" s="7" t="e">
        <f>[1]!Tabelle1321011121516[[#This Row],[Anzahl Frames]]/[1]!Tabelle1321011121516[[#This Row],[Aufnahmezeit '[s']]]</f>
        <v>#DIV/0!</v>
      </c>
      <c r="O77" s="6" t="e">
        <f>1/[1]!Tabelle1321011121516[[#This Row],[Mean fps ]]</f>
        <v>#DIV/0!</v>
      </c>
      <c r="P77" s="7">
        <v>40</v>
      </c>
      <c r="Q77" s="3"/>
      <c r="R77" s="11"/>
      <c r="S77" s="7">
        <v>1.214</v>
      </c>
      <c r="T77" s="7">
        <v>0.92600000000000005</v>
      </c>
      <c r="U77" s="7">
        <v>1.7130000000000001</v>
      </c>
      <c r="V77" s="7"/>
      <c r="W77" s="7"/>
      <c r="X77" s="7"/>
      <c r="Y77" s="7"/>
      <c r="Z77" s="7"/>
      <c r="AA77" s="7"/>
      <c r="AB77" s="7"/>
      <c r="AC77" s="7" t="e">
        <f>Tabelle1311[[#This Row],[SD 1]]/Tabelle1311[[#This Row],[Mean Visc. 1 '[mPas']]]</f>
        <v>#DIV/0!</v>
      </c>
      <c r="AD77" s="7" t="e">
        <f>[1]!Tabelle1326[[#This Row],[SD 2]]/[1]!Tabelle1326[[#This Row],[Mean Visc. 2 '[mPas']2]]</f>
        <v>#DIV/0!</v>
      </c>
      <c r="AE77" s="7" t="e">
        <f>[1]!Tabelle1326[[#This Row],[SD 3]]/[1]!Tabelle1326[[#This Row],[Mean Visc. 3 '[mPas']3]]</f>
        <v>#DIV/0!</v>
      </c>
    </row>
    <row r="78" spans="1:31" x14ac:dyDescent="0.3">
      <c r="A78">
        <v>77</v>
      </c>
      <c r="B78" s="4"/>
      <c r="C78" s="5"/>
      <c r="D78" s="7">
        <v>8</v>
      </c>
      <c r="E78" t="s">
        <v>173</v>
      </c>
      <c r="F78" t="s">
        <v>192</v>
      </c>
      <c r="G78" s="23"/>
      <c r="H78" s="11" t="s">
        <v>198</v>
      </c>
      <c r="I78" s="9" t="s">
        <v>12</v>
      </c>
      <c r="J78" s="7">
        <v>23.5</v>
      </c>
      <c r="K78" s="7">
        <v>10</v>
      </c>
      <c r="L78" s="7">
        <v>30</v>
      </c>
      <c r="M78" s="7">
        <v>376</v>
      </c>
      <c r="N78" s="7" t="e">
        <f>[1]!Tabelle1321011121516[[#This Row],[Anzahl Frames]]/[1]!Tabelle1321011121516[[#This Row],[Aufnahmezeit '[s']]]</f>
        <v>#DIV/0!</v>
      </c>
      <c r="O78" s="6" t="e">
        <f>1/[1]!Tabelle1321011121516[[#This Row],[Mean fps ]]</f>
        <v>#DIV/0!</v>
      </c>
      <c r="P78" s="7">
        <v>40</v>
      </c>
      <c r="Q78" s="3"/>
      <c r="R78" s="11"/>
      <c r="S78" s="7">
        <v>1.2909999999999999</v>
      </c>
      <c r="T78" s="7">
        <v>1.0249999999999999</v>
      </c>
      <c r="U78" s="7">
        <v>1.65</v>
      </c>
      <c r="V78" s="7"/>
      <c r="W78" s="7"/>
      <c r="X78" s="7"/>
      <c r="Y78" s="7"/>
      <c r="Z78" s="7"/>
      <c r="AA78" s="7"/>
      <c r="AB78" s="7"/>
      <c r="AC78" s="7" t="e">
        <f>Tabelle1311[[#This Row],[SD 1]]/Tabelle1311[[#This Row],[Mean Visc. 1 '[mPas']]]</f>
        <v>#DIV/0!</v>
      </c>
      <c r="AD78" s="7" t="e">
        <f>[1]!Tabelle1326[[#This Row],[SD 2]]/[1]!Tabelle1326[[#This Row],[Mean Visc. 2 '[mPas']2]]</f>
        <v>#DIV/0!</v>
      </c>
      <c r="AE78" s="7" t="e">
        <f>[1]!Tabelle1326[[#This Row],[SD 3]]/[1]!Tabelle1326[[#This Row],[Mean Visc. 3 '[mPas']3]]</f>
        <v>#DIV/0!</v>
      </c>
    </row>
    <row r="79" spans="1:31" x14ac:dyDescent="0.3">
      <c r="A79">
        <v>78</v>
      </c>
      <c r="B79" s="4"/>
      <c r="C79" s="5"/>
      <c r="D79" s="7">
        <v>8</v>
      </c>
      <c r="E79" t="s">
        <v>173</v>
      </c>
      <c r="F79" t="s">
        <v>192</v>
      </c>
      <c r="G79" s="23"/>
      <c r="H79" s="11" t="s">
        <v>198</v>
      </c>
      <c r="I79" s="9" t="s">
        <v>12</v>
      </c>
      <c r="J79" s="7">
        <v>23.6</v>
      </c>
      <c r="K79" s="7">
        <v>10</v>
      </c>
      <c r="L79" s="7">
        <v>31.28</v>
      </c>
      <c r="M79" s="7">
        <v>391</v>
      </c>
      <c r="N79" s="7" t="e">
        <f>[1]!Tabelle1321011121516[[#This Row],[Anzahl Frames]]/[1]!Tabelle1321011121516[[#This Row],[Aufnahmezeit '[s']]]</f>
        <v>#DIV/0!</v>
      </c>
      <c r="O79" s="6" t="e">
        <f>1/[1]!Tabelle1321011121516[[#This Row],[Mean fps ]]</f>
        <v>#DIV/0!</v>
      </c>
      <c r="P79" s="7">
        <v>40</v>
      </c>
      <c r="Q79" s="3"/>
      <c r="R79" s="11"/>
      <c r="S79" s="7">
        <v>1.337</v>
      </c>
      <c r="T79" s="7">
        <v>1.012</v>
      </c>
      <c r="U79" s="7">
        <v>1.798</v>
      </c>
      <c r="V79" s="7"/>
      <c r="W79" s="7"/>
      <c r="X79" s="7"/>
      <c r="Y79" s="7"/>
      <c r="Z79" s="7"/>
      <c r="AA79" s="7"/>
      <c r="AB79" s="7"/>
      <c r="AC79" s="7" t="e">
        <f>Tabelle1311[[#This Row],[SD 1]]/Tabelle1311[[#This Row],[Mean Visc. 1 '[mPas']]]</f>
        <v>#DIV/0!</v>
      </c>
      <c r="AD79" s="7" t="e">
        <f>[1]!Tabelle1326[[#This Row],[SD 2]]/[1]!Tabelle1326[[#This Row],[Mean Visc. 2 '[mPas']2]]</f>
        <v>#DIV/0!</v>
      </c>
      <c r="AE79" s="7" t="e">
        <f>[1]!Tabelle1326[[#This Row],[SD 3]]/[1]!Tabelle1326[[#This Row],[Mean Visc. 3 '[mPas']3]]</f>
        <v>#DIV/0!</v>
      </c>
    </row>
    <row r="80" spans="1:31" x14ac:dyDescent="0.3">
      <c r="A80">
        <v>79</v>
      </c>
      <c r="B80" s="4"/>
      <c r="C80" s="5"/>
      <c r="D80" s="7">
        <v>8</v>
      </c>
      <c r="E80" t="s">
        <v>173</v>
      </c>
      <c r="F80" t="s">
        <v>192</v>
      </c>
      <c r="G80" s="23"/>
      <c r="H80" s="11" t="s">
        <v>198</v>
      </c>
      <c r="I80" s="9" t="s">
        <v>12</v>
      </c>
      <c r="J80" s="7">
        <v>23.7</v>
      </c>
      <c r="K80" s="7">
        <v>10</v>
      </c>
      <c r="L80" s="7">
        <v>30.32</v>
      </c>
      <c r="M80" s="7">
        <v>379</v>
      </c>
      <c r="N80" s="7" t="e">
        <f>[1]!Tabelle1321011121516[[#This Row],[Anzahl Frames]]/[1]!Tabelle1321011121516[[#This Row],[Aufnahmezeit '[s']]]</f>
        <v>#DIV/0!</v>
      </c>
      <c r="O80" s="6" t="e">
        <f>1/[1]!Tabelle1321011121516[[#This Row],[Mean fps ]]</f>
        <v>#DIV/0!</v>
      </c>
      <c r="P80" s="7">
        <v>40</v>
      </c>
      <c r="Q80" s="3"/>
      <c r="R80" s="11"/>
      <c r="S80" s="7">
        <v>1.167</v>
      </c>
      <c r="T80" s="7">
        <v>0.93</v>
      </c>
      <c r="U80" s="7">
        <v>1.629</v>
      </c>
      <c r="V80" s="7"/>
      <c r="W80" s="7"/>
      <c r="X80" s="7"/>
      <c r="Y80" s="7"/>
      <c r="Z80" s="7"/>
      <c r="AA80" s="7"/>
      <c r="AB80" s="7"/>
      <c r="AC80" s="7" t="e">
        <f>Tabelle1311[[#This Row],[SD 1]]/Tabelle1311[[#This Row],[Mean Visc. 1 '[mPas']]]</f>
        <v>#DIV/0!</v>
      </c>
      <c r="AD80" s="7" t="e">
        <f>[1]!Tabelle1326[[#This Row],[SD 2]]/[1]!Tabelle1326[[#This Row],[Mean Visc. 2 '[mPas']2]]</f>
        <v>#DIV/0!</v>
      </c>
      <c r="AE80" s="7" t="e">
        <f>[1]!Tabelle1326[[#This Row],[SD 3]]/[1]!Tabelle1326[[#This Row],[Mean Visc. 3 '[mPas']3]]</f>
        <v>#DIV/0!</v>
      </c>
    </row>
    <row r="81" spans="1:31" x14ac:dyDescent="0.3">
      <c r="A81">
        <v>80</v>
      </c>
      <c r="B81" s="4"/>
      <c r="C81" s="5"/>
      <c r="D81" s="7">
        <v>8</v>
      </c>
      <c r="E81" t="s">
        <v>173</v>
      </c>
      <c r="F81" t="s">
        <v>192</v>
      </c>
      <c r="G81" s="23"/>
      <c r="H81" s="11" t="s">
        <v>198</v>
      </c>
      <c r="I81" s="9" t="s">
        <v>12</v>
      </c>
      <c r="J81" s="7">
        <v>23.8</v>
      </c>
      <c r="K81" s="7">
        <v>10</v>
      </c>
      <c r="L81" s="7">
        <v>31.12</v>
      </c>
      <c r="M81" s="7">
        <v>389</v>
      </c>
      <c r="N81" s="7" t="e">
        <f>[1]!Tabelle1321011121516[[#This Row],[Anzahl Frames]]/[1]!Tabelle1321011121516[[#This Row],[Aufnahmezeit '[s']]]</f>
        <v>#DIV/0!</v>
      </c>
      <c r="O81" s="6" t="e">
        <f>1/[1]!Tabelle1321011121516[[#This Row],[Mean fps ]]</f>
        <v>#DIV/0!</v>
      </c>
      <c r="P81" s="7">
        <v>40</v>
      </c>
      <c r="Q81" s="3"/>
      <c r="R81" s="11"/>
      <c r="S81" s="7">
        <v>1.1850000000000001</v>
      </c>
      <c r="T81" s="7">
        <v>0.88600000000000001</v>
      </c>
      <c r="U81" s="7">
        <v>1.732</v>
      </c>
      <c r="V81" s="7"/>
      <c r="W81" s="7">
        <f>SUM(S72:S81)/10</f>
        <v>1.2025999999999999</v>
      </c>
      <c r="X81" s="7">
        <f t="shared" ref="X81:Y81" si="7">SUM(T72:T81)/10</f>
        <v>0.95839999999999992</v>
      </c>
      <c r="Y81" s="7">
        <f t="shared" si="7"/>
        <v>1.6719000000000002</v>
      </c>
      <c r="Z81" s="7">
        <f>_xlfn.STDEV.S(S72:S81)</f>
        <v>6.6264117992570676E-2</v>
      </c>
      <c r="AA81" s="7">
        <f>_xlfn.STDEV.S(T72:T81)</f>
        <v>7.3959748812745696E-2</v>
      </c>
      <c r="AB81" s="7">
        <f>_xlfn.STDEV.S(U72:U81)</f>
        <v>8.9248031413085599E-2</v>
      </c>
      <c r="AC81" s="7">
        <f>Tabelle1311[[#This Row],[SD 1]]/Tabelle1311[[#This Row],[Mean Visc. 1 '[mPas']]]</f>
        <v>5.5100713448004893E-2</v>
      </c>
      <c r="AD81" s="7" t="e">
        <f>[1]!Tabelle1327[[#This Row],[SD 2]]/[1]!Tabelle1327[[#This Row],[Mean Visc. 2 '[mPas']2]]</f>
        <v>#DIV/0!</v>
      </c>
      <c r="AE81" s="7" t="e">
        <f>[1]!Tabelle1327[[#This Row],[SD 3]]/[1]!Tabelle1327[[#This Row],[Mean Visc. 3 '[mPas']3]]</f>
        <v>#DIV/0!</v>
      </c>
    </row>
    <row r="82" spans="1:31" x14ac:dyDescent="0.3">
      <c r="A82">
        <v>81</v>
      </c>
      <c r="B82" s="4"/>
      <c r="C82" s="5"/>
      <c r="D82" s="7">
        <v>9</v>
      </c>
      <c r="E82" t="s">
        <v>173</v>
      </c>
      <c r="F82" t="s">
        <v>197</v>
      </c>
      <c r="G82" s="23"/>
      <c r="H82" s="11" t="s">
        <v>198</v>
      </c>
      <c r="I82" s="9" t="s">
        <v>12</v>
      </c>
      <c r="J82" s="7">
        <v>22.9</v>
      </c>
      <c r="K82" s="7">
        <v>21</v>
      </c>
      <c r="L82" s="7">
        <v>28.67</v>
      </c>
      <c r="M82" s="7">
        <v>362</v>
      </c>
      <c r="N82" s="7">
        <f>[1]!Tabelle1321011121516[[#This Row],[Anzahl Frames]]/[1]!Tabelle1321011121516[[#This Row],[Aufnahmezeit '[s']]]</f>
        <v>12.621359223300971</v>
      </c>
      <c r="O82" s="6">
        <f>1/[1]!Tabelle1321011121516[[#This Row],[Mean fps ]]</f>
        <v>7.923076923076923E-2</v>
      </c>
      <c r="P82" s="7">
        <v>40</v>
      </c>
      <c r="Q82" s="3"/>
      <c r="R82" s="11"/>
      <c r="S82" s="7">
        <v>1.2230000000000001</v>
      </c>
      <c r="T82" s="7">
        <v>1.07</v>
      </c>
      <c r="U82" s="7">
        <v>1.6830000000000001</v>
      </c>
      <c r="V82" s="7"/>
      <c r="W82" s="7"/>
      <c r="X82" s="7"/>
      <c r="Y82" s="7"/>
      <c r="Z82" s="7"/>
      <c r="AA82" s="7"/>
      <c r="AB82" s="7"/>
      <c r="AC82" s="7" t="e">
        <f>Tabelle1311[[#This Row],[SD 1]]/Tabelle1311[[#This Row],[Mean Visc. 1 '[mPas']]]</f>
        <v>#DIV/0!</v>
      </c>
      <c r="AD82" s="7" t="e">
        <f>[1]!Tabelle1326[[#This Row],[SD 2]]/[1]!Tabelle1326[[#This Row],[Mean Visc. 2 '[mPas']2]]</f>
        <v>#DIV/0!</v>
      </c>
      <c r="AE82" s="7" t="e">
        <f>[1]!Tabelle1326[[#This Row],[SD 3]]/[1]!Tabelle1326[[#This Row],[Mean Visc. 3 '[mPas']3]]</f>
        <v>#DIV/0!</v>
      </c>
    </row>
    <row r="83" spans="1:31" x14ac:dyDescent="0.3">
      <c r="A83">
        <v>82</v>
      </c>
      <c r="B83" s="4"/>
      <c r="C83" s="5"/>
      <c r="D83" s="7">
        <v>9</v>
      </c>
      <c r="E83" t="s">
        <v>173</v>
      </c>
      <c r="F83" t="s">
        <v>197</v>
      </c>
      <c r="G83" s="23"/>
      <c r="H83" s="11" t="s">
        <v>198</v>
      </c>
      <c r="I83" s="9" t="s">
        <v>12</v>
      </c>
      <c r="J83" s="7">
        <v>23</v>
      </c>
      <c r="K83" s="7">
        <v>21</v>
      </c>
      <c r="L83" s="7">
        <v>32.74</v>
      </c>
      <c r="M83" s="7">
        <v>409</v>
      </c>
      <c r="N83" s="7">
        <f>[1]!Tabelle1321011121516[[#This Row],[Anzahl Frames]]/[1]!Tabelle1321011121516[[#This Row],[Aufnahmezeit '[s']]]</f>
        <v>12.531328320802004</v>
      </c>
      <c r="O83" s="6">
        <f>1/[1]!Tabelle1321011121516[[#This Row],[Mean fps ]]</f>
        <v>7.980000000000001E-2</v>
      </c>
      <c r="P83" s="7">
        <v>40</v>
      </c>
      <c r="Q83" s="3"/>
      <c r="R83" s="11"/>
      <c r="S83" s="7">
        <v>1.264</v>
      </c>
      <c r="T83" s="7">
        <v>1.05</v>
      </c>
      <c r="U83" s="7">
        <v>1.738</v>
      </c>
      <c r="V83" s="7"/>
      <c r="W83" s="7"/>
      <c r="X83" s="7"/>
      <c r="Y83" s="7"/>
      <c r="Z83" s="7"/>
      <c r="AA83" s="7"/>
      <c r="AB83" s="7"/>
      <c r="AC83" s="7" t="e">
        <f>Tabelle1311[[#This Row],[SD 1]]/Tabelle1311[[#This Row],[Mean Visc. 1 '[mPas']]]</f>
        <v>#DIV/0!</v>
      </c>
      <c r="AD83" s="7" t="e">
        <f>[1]!Tabelle1326[[#This Row],[SD 2]]/[1]!Tabelle1326[[#This Row],[Mean Visc. 2 '[mPas']2]]</f>
        <v>#DIV/0!</v>
      </c>
      <c r="AE83" s="7" t="e">
        <f>[1]!Tabelle1326[[#This Row],[SD 3]]/[1]!Tabelle1326[[#This Row],[Mean Visc. 3 '[mPas']3]]</f>
        <v>#DIV/0!</v>
      </c>
    </row>
    <row r="84" spans="1:31" x14ac:dyDescent="0.3">
      <c r="A84">
        <v>83</v>
      </c>
      <c r="B84" s="4"/>
      <c r="C84" s="5"/>
      <c r="D84" s="7">
        <v>9</v>
      </c>
      <c r="E84" t="s">
        <v>173</v>
      </c>
      <c r="F84" t="s">
        <v>197</v>
      </c>
      <c r="G84" s="23"/>
      <c r="H84" s="11" t="s">
        <v>198</v>
      </c>
      <c r="I84" s="9" t="s">
        <v>12</v>
      </c>
      <c r="J84" s="7">
        <v>23</v>
      </c>
      <c r="K84" s="7">
        <v>21</v>
      </c>
      <c r="L84" s="7">
        <v>30.74</v>
      </c>
      <c r="M84" s="7">
        <v>384</v>
      </c>
      <c r="N84" s="7">
        <f>[1]!Tabelle1321011121516[[#This Row],[Anzahl Frames]]/[1]!Tabelle1321011121516[[#This Row],[Aufnahmezeit '[s']]]</f>
        <v>12.528026905829597</v>
      </c>
      <c r="O84" s="6">
        <f>1/[1]!Tabelle1321011121516[[#This Row],[Mean fps ]]</f>
        <v>7.9821029082774053E-2</v>
      </c>
      <c r="P84" s="7">
        <v>40</v>
      </c>
      <c r="Q84" s="3"/>
      <c r="R84" s="11"/>
      <c r="S84" s="7">
        <v>1.3859999999999999</v>
      </c>
      <c r="T84" s="7">
        <v>1.1439999999999999</v>
      </c>
      <c r="U84" s="7">
        <v>1.8049999999999999</v>
      </c>
      <c r="V84" s="7"/>
      <c r="W84" s="7"/>
      <c r="X84" s="7"/>
      <c r="Y84" s="7"/>
      <c r="Z84" s="7"/>
      <c r="AA84" s="7"/>
      <c r="AB84" s="7"/>
      <c r="AC84" s="7" t="e">
        <f>Tabelle1311[[#This Row],[SD 1]]/Tabelle1311[[#This Row],[Mean Visc. 1 '[mPas']]]</f>
        <v>#DIV/0!</v>
      </c>
      <c r="AD84" s="7" t="e">
        <f>[1]!Tabelle1326[[#This Row],[SD 2]]/[1]!Tabelle1326[[#This Row],[Mean Visc. 2 '[mPas']2]]</f>
        <v>#DIV/0!</v>
      </c>
      <c r="AE84" s="7" t="e">
        <f>[1]!Tabelle1326[[#This Row],[SD 3]]/[1]!Tabelle1326[[#This Row],[Mean Visc. 3 '[mPas']3]]</f>
        <v>#DIV/0!</v>
      </c>
    </row>
    <row r="85" spans="1:31" x14ac:dyDescent="0.3">
      <c r="A85">
        <v>84</v>
      </c>
      <c r="B85" s="4"/>
      <c r="C85" s="5"/>
      <c r="D85" s="7">
        <v>9</v>
      </c>
      <c r="E85" t="s">
        <v>173</v>
      </c>
      <c r="F85" t="s">
        <v>197</v>
      </c>
      <c r="G85" s="23"/>
      <c r="H85" s="11" t="s">
        <v>198</v>
      </c>
      <c r="I85" s="9" t="s">
        <v>12</v>
      </c>
      <c r="J85" s="7">
        <v>23</v>
      </c>
      <c r="K85" s="7">
        <v>21</v>
      </c>
      <c r="L85" s="7">
        <v>30.16</v>
      </c>
      <c r="M85" s="7">
        <v>377</v>
      </c>
      <c r="N85" s="7">
        <f>[1]!Tabelle1321011121516[[#This Row],[Anzahl Frames]]/[1]!Tabelle1321011121516[[#This Row],[Aufnahmezeit '[s']]]</f>
        <v>16.6015625</v>
      </c>
      <c r="O85" s="6">
        <f>1/[1]!Tabelle1321011121516[[#This Row],[Mean fps ]]</f>
        <v>6.023529411764706E-2</v>
      </c>
      <c r="P85" s="7">
        <v>40</v>
      </c>
      <c r="Q85" s="3"/>
      <c r="R85" s="11"/>
      <c r="S85" s="7">
        <v>1.3160000000000001</v>
      </c>
      <c r="T85" s="7">
        <v>1.004</v>
      </c>
      <c r="U85" s="7">
        <v>1.7609999999999999</v>
      </c>
      <c r="V85" s="7"/>
      <c r="W85" s="7"/>
      <c r="X85" s="7"/>
      <c r="Y85" s="7"/>
      <c r="Z85" s="7"/>
      <c r="AA85" s="7"/>
      <c r="AB85" s="7"/>
      <c r="AC85" s="7" t="e">
        <f>Tabelle1311[[#This Row],[SD 1]]/Tabelle1311[[#This Row],[Mean Visc. 1 '[mPas']]]</f>
        <v>#DIV/0!</v>
      </c>
      <c r="AD85" s="7" t="e">
        <f>[1]!Tabelle1326[[#This Row],[SD 2]]/[1]!Tabelle1326[[#This Row],[Mean Visc. 2 '[mPas']2]]</f>
        <v>#DIV/0!</v>
      </c>
      <c r="AE85" s="7" t="e">
        <f>[1]!Tabelle1326[[#This Row],[SD 3]]/[1]!Tabelle1326[[#This Row],[Mean Visc. 3 '[mPas']3]]</f>
        <v>#DIV/0!</v>
      </c>
    </row>
    <row r="86" spans="1:31" ht="15" thickBot="1" x14ac:dyDescent="0.35">
      <c r="A86">
        <v>85</v>
      </c>
      <c r="B86" s="15"/>
      <c r="C86" s="16"/>
      <c r="D86" s="7">
        <v>9</v>
      </c>
      <c r="E86" t="s">
        <v>173</v>
      </c>
      <c r="F86" t="s">
        <v>197</v>
      </c>
      <c r="G86" s="24"/>
      <c r="H86" s="21" t="s">
        <v>198</v>
      </c>
      <c r="I86" s="9" t="s">
        <v>12</v>
      </c>
      <c r="J86" s="17">
        <v>23.2</v>
      </c>
      <c r="K86" s="17">
        <v>21</v>
      </c>
      <c r="L86" s="17">
        <v>30.56</v>
      </c>
      <c r="M86" s="17">
        <v>382</v>
      </c>
      <c r="N86" s="17">
        <f>[1]!Tabelle1321011121516[[#This Row],[Anzahl Frames]]/[1]!Tabelle1321011121516[[#This Row],[Aufnahmezeit '[s']]]</f>
        <v>12.531645569620252</v>
      </c>
      <c r="O86" s="25">
        <f>1/[1]!Tabelle1321011121516[[#This Row],[Mean fps ]]</f>
        <v>7.9797979797979798E-2</v>
      </c>
      <c r="P86" s="17">
        <v>40</v>
      </c>
      <c r="Q86" s="20"/>
      <c r="R86" s="21"/>
      <c r="S86" s="17">
        <v>1.3440000000000001</v>
      </c>
      <c r="T86" s="17">
        <v>1.0529999999999999</v>
      </c>
      <c r="U86" s="17">
        <v>1.6850000000000001</v>
      </c>
      <c r="V86" s="17"/>
      <c r="W86" s="17"/>
      <c r="X86" s="17"/>
      <c r="Y86" s="17"/>
      <c r="Z86" s="17"/>
      <c r="AA86" s="17"/>
      <c r="AB86" s="17"/>
      <c r="AC86" s="17" t="e">
        <f>Tabelle1311[[#This Row],[SD 1]]/Tabelle1311[[#This Row],[Mean Visc. 1 '[mPas']]]</f>
        <v>#DIV/0!</v>
      </c>
      <c r="AD86" s="17" t="e">
        <f>[1]!Tabelle1326[[#This Row],[SD 2]]/[1]!Tabelle1326[[#This Row],[Mean Visc. 2 '[mPas']2]]</f>
        <v>#DIV/0!</v>
      </c>
      <c r="AE86" s="17" t="e">
        <f>[1]!Tabelle1326[[#This Row],[SD 3]]/[1]!Tabelle1326[[#This Row],[Mean Visc. 3 '[mPas']3]]</f>
        <v>#DIV/0!</v>
      </c>
    </row>
    <row r="87" spans="1:31" ht="15" thickTop="1" x14ac:dyDescent="0.3">
      <c r="A87">
        <v>86</v>
      </c>
      <c r="B87" s="4"/>
      <c r="C87" s="5"/>
      <c r="D87" s="7">
        <v>9</v>
      </c>
      <c r="E87" t="s">
        <v>173</v>
      </c>
      <c r="F87" t="s">
        <v>197</v>
      </c>
      <c r="G87" s="23"/>
      <c r="H87" s="11" t="s">
        <v>198</v>
      </c>
      <c r="I87" s="9" t="s">
        <v>12</v>
      </c>
      <c r="J87" s="7">
        <v>23.2</v>
      </c>
      <c r="K87" s="7">
        <v>21</v>
      </c>
      <c r="L87" s="7">
        <v>30.56</v>
      </c>
      <c r="M87" s="7">
        <v>382</v>
      </c>
      <c r="N87" s="7">
        <f>[1]!Tabelle1321011121516[[#This Row],[Anzahl Frames]]/[1]!Tabelle1321011121516[[#This Row],[Aufnahmezeit '[s']]]</f>
        <v>12.5</v>
      </c>
      <c r="O87" s="6">
        <f>1/[1]!Tabelle1321011121516[[#This Row],[Mean fps ]]</f>
        <v>0.08</v>
      </c>
      <c r="P87" s="7">
        <v>40</v>
      </c>
      <c r="Q87" s="3"/>
      <c r="R87" s="11"/>
      <c r="S87" s="7">
        <v>1.198</v>
      </c>
      <c r="T87" s="7">
        <v>1.0549999999999999</v>
      </c>
      <c r="U87" s="7">
        <v>1.73</v>
      </c>
      <c r="V87" s="7"/>
      <c r="W87" s="7"/>
      <c r="X87" s="7"/>
      <c r="Y87" s="7"/>
      <c r="Z87" s="7"/>
      <c r="AA87" s="7"/>
      <c r="AB87" s="7"/>
      <c r="AC87" s="7" t="e">
        <f>Tabelle1311[[#This Row],[SD 1]]/Tabelle1311[[#This Row],[Mean Visc. 1 '[mPas']]]</f>
        <v>#DIV/0!</v>
      </c>
      <c r="AD87" s="7" t="e">
        <f>[1]!Tabelle1326[[#This Row],[SD 2]]/[1]!Tabelle1326[[#This Row],[Mean Visc. 2 '[mPas']2]]</f>
        <v>#DIV/0!</v>
      </c>
      <c r="AE87" s="7" t="e">
        <f>[1]!Tabelle1326[[#This Row],[SD 3]]/[1]!Tabelle1326[[#This Row],[Mean Visc. 3 '[mPas']3]]</f>
        <v>#DIV/0!</v>
      </c>
    </row>
    <row r="88" spans="1:31" x14ac:dyDescent="0.3">
      <c r="A88">
        <v>87</v>
      </c>
      <c r="B88" s="4"/>
      <c r="C88" s="5"/>
      <c r="D88" s="7">
        <v>9</v>
      </c>
      <c r="E88" t="s">
        <v>173</v>
      </c>
      <c r="F88" t="s">
        <v>197</v>
      </c>
      <c r="G88" s="23"/>
      <c r="H88" s="11" t="s">
        <v>198</v>
      </c>
      <c r="I88" s="9" t="s">
        <v>12</v>
      </c>
      <c r="J88" s="7">
        <v>23.3</v>
      </c>
      <c r="K88" s="7">
        <v>21</v>
      </c>
      <c r="L88" s="7">
        <v>38.5</v>
      </c>
      <c r="M88" s="7">
        <v>481</v>
      </c>
      <c r="N88" s="7">
        <f>[1]!Tabelle1321011121516[[#This Row],[Anzahl Frames]]/[1]!Tabelle1321011121516[[#This Row],[Aufnahmezeit '[s']]]</f>
        <v>12.5</v>
      </c>
      <c r="O88" s="6">
        <f>1/[1]!Tabelle1321011121516[[#This Row],[Mean fps ]]</f>
        <v>0.08</v>
      </c>
      <c r="P88" s="7">
        <v>40</v>
      </c>
      <c r="Q88" s="3"/>
      <c r="R88" s="11"/>
      <c r="S88" s="7">
        <v>1.2509999999999999</v>
      </c>
      <c r="T88" s="7">
        <v>1.0680000000000001</v>
      </c>
      <c r="U88" s="7">
        <v>1.7170000000000001</v>
      </c>
      <c r="V88" s="7"/>
      <c r="W88" s="7"/>
      <c r="X88" s="7"/>
      <c r="Y88" s="7"/>
      <c r="Z88" s="7"/>
      <c r="AA88" s="7"/>
      <c r="AB88" s="7"/>
      <c r="AC88" s="7" t="e">
        <f>Tabelle1311[[#This Row],[SD 1]]/Tabelle1311[[#This Row],[Mean Visc. 1 '[mPas']]]</f>
        <v>#DIV/0!</v>
      </c>
      <c r="AD88" s="7" t="e">
        <f>[1]!Tabelle1326[[#This Row],[SD 2]]/[1]!Tabelle1326[[#This Row],[Mean Visc. 2 '[mPas']2]]</f>
        <v>#DIV/0!</v>
      </c>
      <c r="AE88" s="7" t="e">
        <f>[1]!Tabelle1326[[#This Row],[SD 3]]/[1]!Tabelle1326[[#This Row],[Mean Visc. 3 '[mPas']3]]</f>
        <v>#DIV/0!</v>
      </c>
    </row>
    <row r="89" spans="1:31" x14ac:dyDescent="0.3">
      <c r="A89">
        <v>88</v>
      </c>
      <c r="B89" s="4"/>
      <c r="C89" s="5"/>
      <c r="D89" s="7">
        <v>9</v>
      </c>
      <c r="E89" t="s">
        <v>173</v>
      </c>
      <c r="F89" t="s">
        <v>197</v>
      </c>
      <c r="G89" s="23"/>
      <c r="H89" s="11" t="s">
        <v>198</v>
      </c>
      <c r="I89" s="9" t="s">
        <v>12</v>
      </c>
      <c r="J89" s="7">
        <v>23.4</v>
      </c>
      <c r="K89" s="7">
        <v>21</v>
      </c>
      <c r="L89" s="7">
        <v>29.9</v>
      </c>
      <c r="M89" s="7">
        <v>374</v>
      </c>
      <c r="N89" s="7">
        <f>[1]!Tabelle1321011121516[[#This Row],[Anzahl Frames]]/[1]!Tabelle1321011121516[[#This Row],[Aufnahmezeit '[s']]]</f>
        <v>12.5</v>
      </c>
      <c r="O89" s="6">
        <f>1/[1]!Tabelle1321011121516[[#This Row],[Mean fps ]]</f>
        <v>0.08</v>
      </c>
      <c r="P89" s="7">
        <v>40</v>
      </c>
      <c r="Q89" s="3"/>
      <c r="R89" s="11"/>
      <c r="S89" s="7">
        <v>1.286</v>
      </c>
      <c r="T89" s="7">
        <v>1.1140000000000001</v>
      </c>
      <c r="U89" s="7">
        <v>1.8140000000000001</v>
      </c>
      <c r="V89" s="7"/>
      <c r="W89" s="7"/>
      <c r="X89" s="7"/>
      <c r="Y89" s="7"/>
      <c r="Z89" s="7"/>
      <c r="AA89" s="7"/>
      <c r="AB89" s="7"/>
      <c r="AC89" s="7" t="e">
        <f>Tabelle1311[[#This Row],[SD 1]]/Tabelle1311[[#This Row],[Mean Visc. 1 '[mPas']]]</f>
        <v>#DIV/0!</v>
      </c>
      <c r="AD89" s="7" t="e">
        <f>[1]!Tabelle1326[[#This Row],[SD 2]]/[1]!Tabelle1326[[#This Row],[Mean Visc. 2 '[mPas']2]]</f>
        <v>#DIV/0!</v>
      </c>
      <c r="AE89" s="7" t="e">
        <f>[1]!Tabelle1326[[#This Row],[SD 3]]/[1]!Tabelle1326[[#This Row],[Mean Visc. 3 '[mPas']3]]</f>
        <v>#DIV/0!</v>
      </c>
    </row>
    <row r="90" spans="1:31" x14ac:dyDescent="0.3">
      <c r="A90">
        <v>89</v>
      </c>
      <c r="B90" s="4"/>
      <c r="C90" s="5"/>
      <c r="D90" s="7">
        <v>9</v>
      </c>
      <c r="E90" t="s">
        <v>173</v>
      </c>
      <c r="F90" t="s">
        <v>197</v>
      </c>
      <c r="G90" s="23"/>
      <c r="H90" s="11" t="s">
        <v>198</v>
      </c>
      <c r="I90" s="9" t="s">
        <v>12</v>
      </c>
      <c r="J90" s="7">
        <v>23.5</v>
      </c>
      <c r="K90" s="7">
        <v>21</v>
      </c>
      <c r="L90" s="7">
        <v>30.34</v>
      </c>
      <c r="M90" s="7">
        <v>379</v>
      </c>
      <c r="N90" s="7">
        <f>[1]!Tabelle1321011121516[[#This Row],[Anzahl Frames]]/[1]!Tabelle1321011121516[[#This Row],[Aufnahmezeit '[s']]]</f>
        <v>12.529761904761905</v>
      </c>
      <c r="O90" s="6">
        <f>1/[1]!Tabelle1321011121516[[#This Row],[Mean fps ]]</f>
        <v>7.9809976247030873E-2</v>
      </c>
      <c r="P90" s="7">
        <v>40</v>
      </c>
      <c r="Q90" s="3"/>
      <c r="R90" s="11"/>
      <c r="S90" s="7">
        <v>1.288</v>
      </c>
      <c r="T90" s="7">
        <v>0.97399999999999998</v>
      </c>
      <c r="U90" s="7">
        <v>1.7230000000000001</v>
      </c>
      <c r="V90" s="7"/>
      <c r="W90" s="7"/>
      <c r="X90" s="7"/>
      <c r="Y90" s="7"/>
      <c r="Z90" s="7"/>
      <c r="AA90" s="7"/>
      <c r="AB90" s="7"/>
      <c r="AC90" s="7" t="e">
        <f>Tabelle1311[[#This Row],[SD 1]]/Tabelle1311[[#This Row],[Mean Visc. 1 '[mPas']]]</f>
        <v>#DIV/0!</v>
      </c>
      <c r="AD90" s="7" t="e">
        <f>[1]!Tabelle1326[[#This Row],[SD 2]]/[1]!Tabelle1326[[#This Row],[Mean Visc. 2 '[mPas']2]]</f>
        <v>#DIV/0!</v>
      </c>
      <c r="AE90" s="7" t="e">
        <f>[1]!Tabelle1326[[#This Row],[SD 3]]/[1]!Tabelle1326[[#This Row],[Mean Visc. 3 '[mPas']3]]</f>
        <v>#DIV/0!</v>
      </c>
    </row>
    <row r="91" spans="1:31" x14ac:dyDescent="0.3">
      <c r="A91">
        <v>90</v>
      </c>
      <c r="B91" s="4"/>
      <c r="C91" s="5"/>
      <c r="D91" s="7">
        <v>9</v>
      </c>
      <c r="E91" t="s">
        <v>173</v>
      </c>
      <c r="F91" t="s">
        <v>197</v>
      </c>
      <c r="G91" s="23"/>
      <c r="H91" s="11" t="s">
        <v>198</v>
      </c>
      <c r="I91" s="9" t="s">
        <v>12</v>
      </c>
      <c r="J91" s="7">
        <v>23.6</v>
      </c>
      <c r="K91" s="7">
        <v>21</v>
      </c>
      <c r="L91" s="7">
        <v>31.76</v>
      </c>
      <c r="M91" s="7">
        <v>397</v>
      </c>
      <c r="N91" s="7">
        <f>[1]!Tabelle1321011121516[[#This Row],[Anzahl Frames]]/[1]!Tabelle1321011121516[[#This Row],[Aufnahmezeit '[s']]]</f>
        <v>12.532981530343008</v>
      </c>
      <c r="O91" s="6">
        <f>1/[1]!Tabelle1321011121516[[#This Row],[Mean fps ]]</f>
        <v>7.9789473684210521E-2</v>
      </c>
      <c r="P91" s="7">
        <v>40</v>
      </c>
      <c r="Q91" s="3"/>
      <c r="R91" s="11"/>
      <c r="S91" s="7">
        <v>1.1539999999999999</v>
      </c>
      <c r="T91" s="7">
        <v>0.86</v>
      </c>
      <c r="U91" s="7">
        <v>1.661</v>
      </c>
      <c r="V91" s="7"/>
      <c r="W91" s="7">
        <f>SUM(S82:S91)/10</f>
        <v>1.2709999999999999</v>
      </c>
      <c r="X91" s="7">
        <f t="shared" ref="X91:Y91" si="8">SUM(T82:T91)/10</f>
        <v>1.0392000000000001</v>
      </c>
      <c r="Y91" s="7">
        <f t="shared" si="8"/>
        <v>1.7317000000000005</v>
      </c>
      <c r="Z91" s="7">
        <f>_xlfn.STDEV.S(S82:S91)</f>
        <v>6.9012076237906853E-2</v>
      </c>
      <c r="AA91" s="7">
        <f>_xlfn.STDEV.S(T82:T91)</f>
        <v>7.9243366353980133E-2</v>
      </c>
      <c r="AB91" s="7">
        <f>_xlfn.STDEV.S(U82:U91)</f>
        <v>5.0431581815807064E-2</v>
      </c>
      <c r="AC91" s="7">
        <f>Tabelle1311[[#This Row],[SD 1]]/Tabelle1311[[#This Row],[Mean Visc. 1 '[mPas']]]</f>
        <v>5.4297463601814991E-2</v>
      </c>
      <c r="AD91" s="7">
        <f>[1]!Tabelle1327[[#This Row],[SD 2]]/[1]!Tabelle1327[[#This Row],[Mean Visc. 2 '[mPas']2]]</f>
        <v>7.6254201649326517E-2</v>
      </c>
      <c r="AE91" s="7">
        <f>[1]!Tabelle1327[[#This Row],[SD 3]]/[1]!Tabelle1327[[#This Row],[Mean Visc. 3 '[mPas']3]]</f>
        <v>2.9122585791884883E-2</v>
      </c>
    </row>
    <row r="92" spans="1:31" x14ac:dyDescent="0.3">
      <c r="A92">
        <v>91</v>
      </c>
      <c r="B92" s="4"/>
      <c r="C92" s="5"/>
      <c r="D92" s="7">
        <v>10</v>
      </c>
      <c r="E92" t="s">
        <v>173</v>
      </c>
      <c r="F92" t="s">
        <v>199</v>
      </c>
      <c r="G92" s="23"/>
      <c r="H92" s="11" t="s">
        <v>198</v>
      </c>
      <c r="I92" s="9" t="s">
        <v>12</v>
      </c>
      <c r="J92" s="7">
        <v>24.8</v>
      </c>
      <c r="K92" s="7">
        <v>10</v>
      </c>
      <c r="L92" s="7">
        <v>29.92</v>
      </c>
      <c r="M92" s="7">
        <v>374</v>
      </c>
      <c r="N92" s="7" t="e">
        <f>[1]!Tabelle1321011121516[[#This Row],[Anzahl Frames]]/[1]!Tabelle1321011121516[[#This Row],[Aufnahmezeit '[s']]]</f>
        <v>#DIV/0!</v>
      </c>
      <c r="O92" s="6" t="e">
        <f>1/[1]!Tabelle1321011121516[[#This Row],[Mean fps ]]</f>
        <v>#DIV/0!</v>
      </c>
      <c r="P92" s="7">
        <v>40</v>
      </c>
      <c r="Q92" s="3"/>
      <c r="R92" s="11"/>
      <c r="S92" s="7">
        <v>1.5760000000000001</v>
      </c>
      <c r="T92" s="7">
        <v>1.3859999999999999</v>
      </c>
      <c r="U92" s="7">
        <v>2.0369999999999999</v>
      </c>
      <c r="V92" s="7"/>
      <c r="W92" s="7"/>
      <c r="X92" s="7"/>
      <c r="Y92" s="7"/>
      <c r="Z92" s="7"/>
      <c r="AA92" s="7"/>
      <c r="AB92" s="7"/>
      <c r="AC92" s="7" t="e">
        <f>Tabelle1311[[#This Row],[SD 1]]/Tabelle1311[[#This Row],[Mean Visc. 1 '[mPas']]]</f>
        <v>#DIV/0!</v>
      </c>
      <c r="AD92" s="7" t="e">
        <f>[1]!Tabelle1326[[#This Row],[SD 2]]/[1]!Tabelle1326[[#This Row],[Mean Visc. 2 '[mPas']2]]</f>
        <v>#DIV/0!</v>
      </c>
      <c r="AE92" s="7" t="e">
        <f>[1]!Tabelle1326[[#This Row],[SD 3]]/[1]!Tabelle1326[[#This Row],[Mean Visc. 3 '[mPas']3]]</f>
        <v>#DIV/0!</v>
      </c>
    </row>
    <row r="93" spans="1:31" x14ac:dyDescent="0.3">
      <c r="A93">
        <v>92</v>
      </c>
      <c r="B93" s="4"/>
      <c r="C93" s="5"/>
      <c r="D93" s="7">
        <v>10</v>
      </c>
      <c r="E93" t="s">
        <v>173</v>
      </c>
      <c r="F93" t="s">
        <v>199</v>
      </c>
      <c r="G93" s="23"/>
      <c r="H93" s="11" t="s">
        <v>198</v>
      </c>
      <c r="I93" s="9" t="s">
        <v>12</v>
      </c>
      <c r="J93" s="7">
        <v>24.8</v>
      </c>
      <c r="K93" s="7">
        <v>10</v>
      </c>
      <c r="L93" s="7">
        <v>29.9</v>
      </c>
      <c r="M93" s="7">
        <v>374</v>
      </c>
      <c r="N93" s="7" t="e">
        <f>[1]!Tabelle1321011121516[[#This Row],[Anzahl Frames]]/[1]!Tabelle1321011121516[[#This Row],[Aufnahmezeit '[s']]]</f>
        <v>#DIV/0!</v>
      </c>
      <c r="O93" s="6" t="e">
        <f>1/[1]!Tabelle1321011121516[[#This Row],[Mean fps ]]</f>
        <v>#DIV/0!</v>
      </c>
      <c r="P93" s="7">
        <v>40</v>
      </c>
      <c r="Q93" s="3"/>
      <c r="R93" s="11"/>
      <c r="S93" s="7">
        <v>1.4259999999999999</v>
      </c>
      <c r="T93" s="7">
        <v>1.212</v>
      </c>
      <c r="U93" s="7">
        <v>1.988</v>
      </c>
      <c r="V93" s="7"/>
      <c r="W93" s="7"/>
      <c r="X93" s="7"/>
      <c r="Y93" s="7"/>
      <c r="Z93" s="7"/>
      <c r="AA93" s="7"/>
      <c r="AB93" s="7"/>
      <c r="AC93" s="7" t="e">
        <f>Tabelle1311[[#This Row],[SD 1]]/Tabelle1311[[#This Row],[Mean Visc. 1 '[mPas']]]</f>
        <v>#DIV/0!</v>
      </c>
      <c r="AD93" s="7" t="e">
        <f>[1]!Tabelle1326[[#This Row],[SD 2]]/[1]!Tabelle1326[[#This Row],[Mean Visc. 2 '[mPas']2]]</f>
        <v>#DIV/0!</v>
      </c>
      <c r="AE93" s="7" t="e">
        <f>[1]!Tabelle1326[[#This Row],[SD 3]]/[1]!Tabelle1326[[#This Row],[Mean Visc. 3 '[mPas']3]]</f>
        <v>#DIV/0!</v>
      </c>
    </row>
    <row r="94" spans="1:31" x14ac:dyDescent="0.3">
      <c r="A94">
        <v>93</v>
      </c>
      <c r="B94" s="4"/>
      <c r="C94" s="5"/>
      <c r="D94" s="7">
        <v>10</v>
      </c>
      <c r="E94" t="s">
        <v>173</v>
      </c>
      <c r="F94" t="s">
        <v>199</v>
      </c>
      <c r="G94" s="23"/>
      <c r="H94" s="11" t="s">
        <v>198</v>
      </c>
      <c r="I94" s="9" t="s">
        <v>12</v>
      </c>
      <c r="J94" s="7">
        <v>24.8</v>
      </c>
      <c r="K94" s="7">
        <v>10</v>
      </c>
      <c r="L94" s="7">
        <v>30.8</v>
      </c>
      <c r="M94" s="7">
        <v>386</v>
      </c>
      <c r="N94" s="7" t="e">
        <f>[1]!Tabelle1321011121516[[#This Row],[Anzahl Frames]]/[1]!Tabelle1321011121516[[#This Row],[Aufnahmezeit '[s']]]</f>
        <v>#DIV/0!</v>
      </c>
      <c r="O94" s="6" t="e">
        <f>1/[1]!Tabelle1321011121516[[#This Row],[Mean fps ]]</f>
        <v>#DIV/0!</v>
      </c>
      <c r="P94" s="7">
        <v>40</v>
      </c>
      <c r="Q94" s="3"/>
      <c r="R94" s="11"/>
      <c r="S94" s="7">
        <v>1.2310000000000001</v>
      </c>
      <c r="T94" s="7">
        <v>0.97099999999999997</v>
      </c>
      <c r="U94" s="7">
        <v>1.375</v>
      </c>
      <c r="V94" s="7"/>
      <c r="W94" s="7"/>
      <c r="X94" s="7"/>
      <c r="Y94" s="7"/>
      <c r="Z94" s="7"/>
      <c r="AA94" s="7"/>
      <c r="AB94" s="7"/>
      <c r="AC94" s="7" t="e">
        <f>Tabelle1311[[#This Row],[SD 1]]/Tabelle1311[[#This Row],[Mean Visc. 1 '[mPas']]]</f>
        <v>#DIV/0!</v>
      </c>
      <c r="AD94" s="7" t="e">
        <f>[1]!Tabelle1326[[#This Row],[SD 2]]/[1]!Tabelle1326[[#This Row],[Mean Visc. 2 '[mPas']2]]</f>
        <v>#DIV/0!</v>
      </c>
      <c r="AE94" s="7" t="e">
        <f>[1]!Tabelle1326[[#This Row],[SD 3]]/[1]!Tabelle1326[[#This Row],[Mean Visc. 3 '[mPas']3]]</f>
        <v>#DIV/0!</v>
      </c>
    </row>
    <row r="95" spans="1:31" x14ac:dyDescent="0.3">
      <c r="A95">
        <v>94</v>
      </c>
      <c r="B95" s="4"/>
      <c r="C95" s="5"/>
      <c r="D95" s="7">
        <v>10</v>
      </c>
      <c r="E95" t="s">
        <v>173</v>
      </c>
      <c r="F95" t="s">
        <v>199</v>
      </c>
      <c r="G95" s="23"/>
      <c r="H95" s="11" t="s">
        <v>198</v>
      </c>
      <c r="I95" s="9" t="s">
        <v>12</v>
      </c>
      <c r="J95" s="7">
        <v>24.8</v>
      </c>
      <c r="K95" s="7">
        <v>10</v>
      </c>
      <c r="L95" s="7">
        <v>30.48</v>
      </c>
      <c r="M95" s="7">
        <v>381</v>
      </c>
      <c r="N95" s="7" t="e">
        <f>[1]!Tabelle1321011121516[[#This Row],[Anzahl Frames]]/[1]!Tabelle1321011121516[[#This Row],[Aufnahmezeit '[s']]]</f>
        <v>#DIV/0!</v>
      </c>
      <c r="O95" s="6" t="e">
        <f>1/[1]!Tabelle1321011121516[[#This Row],[Mean fps ]]</f>
        <v>#DIV/0!</v>
      </c>
      <c r="P95" s="7">
        <v>40</v>
      </c>
      <c r="Q95" s="3"/>
      <c r="R95" s="11"/>
      <c r="S95" s="7">
        <v>1.24</v>
      </c>
      <c r="T95" s="7">
        <v>1.0840000000000001</v>
      </c>
      <c r="U95" s="7">
        <v>1.7609999999999999</v>
      </c>
      <c r="V95" s="7"/>
      <c r="W95" s="7"/>
      <c r="X95" s="7"/>
      <c r="Y95" s="7"/>
      <c r="Z95" s="7"/>
      <c r="AA95" s="7"/>
      <c r="AB95" s="7"/>
      <c r="AC95" s="7" t="e">
        <f>Tabelle1311[[#This Row],[SD 1]]/Tabelle1311[[#This Row],[Mean Visc. 1 '[mPas']]]</f>
        <v>#DIV/0!</v>
      </c>
      <c r="AD95" s="7" t="e">
        <f>[1]!Tabelle1326[[#This Row],[SD 2]]/[1]!Tabelle1326[[#This Row],[Mean Visc. 2 '[mPas']2]]</f>
        <v>#DIV/0!</v>
      </c>
      <c r="AE95" s="7" t="e">
        <f>[1]!Tabelle1326[[#This Row],[SD 3]]/[1]!Tabelle1326[[#This Row],[Mean Visc. 3 '[mPas']3]]</f>
        <v>#DIV/0!</v>
      </c>
    </row>
    <row r="96" spans="1:31" ht="15" thickBot="1" x14ac:dyDescent="0.35">
      <c r="A96">
        <v>95</v>
      </c>
      <c r="B96" s="15"/>
      <c r="C96" s="16"/>
      <c r="D96" s="7">
        <v>10</v>
      </c>
      <c r="E96" t="s">
        <v>173</v>
      </c>
      <c r="F96" t="s">
        <v>199</v>
      </c>
      <c r="G96" s="24"/>
      <c r="H96" s="21" t="s">
        <v>198</v>
      </c>
      <c r="I96" s="9" t="s">
        <v>12</v>
      </c>
      <c r="J96" s="17">
        <v>24.8</v>
      </c>
      <c r="K96" s="17">
        <v>10</v>
      </c>
      <c r="L96" s="17">
        <v>30.56</v>
      </c>
      <c r="M96" s="17">
        <v>383</v>
      </c>
      <c r="N96" s="17" t="e">
        <f>[1]!Tabelle1321011121516[[#This Row],[Anzahl Frames]]/[1]!Tabelle1321011121516[[#This Row],[Aufnahmezeit '[s']]]</f>
        <v>#DIV/0!</v>
      </c>
      <c r="O96" s="25" t="e">
        <f>1/[1]!Tabelle1321011121516[[#This Row],[Mean fps ]]</f>
        <v>#DIV/0!</v>
      </c>
      <c r="P96" s="17">
        <v>40</v>
      </c>
      <c r="Q96" s="20"/>
      <c r="R96" s="21"/>
      <c r="S96" s="17">
        <v>1.4470000000000001</v>
      </c>
      <c r="T96" s="17">
        <v>1.171</v>
      </c>
      <c r="U96" s="17">
        <v>1.831</v>
      </c>
      <c r="V96" s="17"/>
      <c r="W96" s="17"/>
      <c r="X96" s="17"/>
      <c r="Y96" s="17"/>
      <c r="Z96" s="17"/>
      <c r="AA96" s="17"/>
      <c r="AB96" s="17"/>
      <c r="AC96" s="17" t="e">
        <f>Tabelle1311[[#This Row],[SD 1]]/Tabelle1311[[#This Row],[Mean Visc. 1 '[mPas']]]</f>
        <v>#DIV/0!</v>
      </c>
      <c r="AD96" s="17" t="e">
        <f>[1]!Tabelle1326[[#This Row],[SD 2]]/[1]!Tabelle1326[[#This Row],[Mean Visc. 2 '[mPas']2]]</f>
        <v>#DIV/0!</v>
      </c>
      <c r="AE96" s="17" t="e">
        <f>[1]!Tabelle1326[[#This Row],[SD 3]]/[1]!Tabelle1326[[#This Row],[Mean Visc. 3 '[mPas']3]]</f>
        <v>#DIV/0!</v>
      </c>
    </row>
    <row r="97" spans="1:31" ht="15" thickTop="1" x14ac:dyDescent="0.3">
      <c r="A97">
        <v>96</v>
      </c>
      <c r="B97" s="4"/>
      <c r="C97" s="5"/>
      <c r="D97" s="7">
        <v>10</v>
      </c>
      <c r="E97" t="s">
        <v>173</v>
      </c>
      <c r="F97" t="s">
        <v>199</v>
      </c>
      <c r="G97" s="23"/>
      <c r="H97" s="11" t="s">
        <v>198</v>
      </c>
      <c r="I97" s="9" t="s">
        <v>12</v>
      </c>
      <c r="J97" s="7">
        <v>24.8</v>
      </c>
      <c r="K97" s="7">
        <v>10</v>
      </c>
      <c r="L97" s="7">
        <v>30.88</v>
      </c>
      <c r="M97" s="7">
        <v>386</v>
      </c>
      <c r="N97" s="7" t="e">
        <f>[1]!Tabelle1321011121516[[#This Row],[Anzahl Frames]]/[1]!Tabelle1321011121516[[#This Row],[Aufnahmezeit '[s']]]</f>
        <v>#DIV/0!</v>
      </c>
      <c r="O97" s="6" t="e">
        <f>1/[1]!Tabelle1321011121516[[#This Row],[Mean fps ]]</f>
        <v>#DIV/0!</v>
      </c>
      <c r="P97" s="7">
        <v>40</v>
      </c>
      <c r="Q97" s="3"/>
      <c r="R97" s="11"/>
      <c r="S97" s="7">
        <v>1.49</v>
      </c>
      <c r="T97" s="7">
        <v>1.2290000000000001</v>
      </c>
      <c r="U97" s="7">
        <v>1.9390000000000001</v>
      </c>
      <c r="V97" s="7"/>
      <c r="W97" s="7"/>
      <c r="X97" s="7"/>
      <c r="Y97" s="7"/>
      <c r="Z97" s="7"/>
      <c r="AA97" s="7"/>
      <c r="AB97" s="7"/>
      <c r="AC97" s="7" t="e">
        <f>Tabelle1311[[#This Row],[SD 1]]/Tabelle1311[[#This Row],[Mean Visc. 1 '[mPas']]]</f>
        <v>#DIV/0!</v>
      </c>
      <c r="AD97" s="7" t="e">
        <f>[1]!Tabelle1326[[#This Row],[SD 2]]/[1]!Tabelle1326[[#This Row],[Mean Visc. 2 '[mPas']2]]</f>
        <v>#DIV/0!</v>
      </c>
      <c r="AE97" s="7" t="e">
        <f>[1]!Tabelle1326[[#This Row],[SD 3]]/[1]!Tabelle1326[[#This Row],[Mean Visc. 3 '[mPas']3]]</f>
        <v>#DIV/0!</v>
      </c>
    </row>
    <row r="98" spans="1:31" x14ac:dyDescent="0.3">
      <c r="A98">
        <v>97</v>
      </c>
      <c r="B98" s="4"/>
      <c r="C98" s="5"/>
      <c r="D98" s="7">
        <v>10</v>
      </c>
      <c r="E98" t="s">
        <v>173</v>
      </c>
      <c r="F98" t="s">
        <v>199</v>
      </c>
      <c r="G98" s="23"/>
      <c r="H98" s="11" t="s">
        <v>198</v>
      </c>
      <c r="I98" s="9" t="s">
        <v>12</v>
      </c>
      <c r="J98" s="7">
        <v>24.9</v>
      </c>
      <c r="K98" s="7">
        <v>10</v>
      </c>
      <c r="L98" s="7">
        <v>30.42</v>
      </c>
      <c r="M98" s="7">
        <v>380</v>
      </c>
      <c r="N98" s="7" t="e">
        <f>[1]!Tabelle1321011121516[[#This Row],[Anzahl Frames]]/[1]!Tabelle1321011121516[[#This Row],[Aufnahmezeit '[s']]]</f>
        <v>#DIV/0!</v>
      </c>
      <c r="O98" s="6" t="e">
        <f>1/[1]!Tabelle1321011121516[[#This Row],[Mean fps ]]</f>
        <v>#DIV/0!</v>
      </c>
      <c r="P98" s="7">
        <v>40</v>
      </c>
      <c r="Q98" s="3"/>
      <c r="R98" s="11"/>
      <c r="S98" s="7">
        <v>1.4330000000000001</v>
      </c>
      <c r="T98" s="7">
        <v>1.093</v>
      </c>
      <c r="U98" s="7">
        <v>1.835</v>
      </c>
      <c r="V98" s="7"/>
      <c r="W98" s="7"/>
      <c r="X98" s="7"/>
      <c r="Y98" s="7"/>
      <c r="Z98" s="7"/>
      <c r="AA98" s="7"/>
      <c r="AB98" s="7"/>
      <c r="AC98" s="7" t="e">
        <f>Tabelle1311[[#This Row],[SD 1]]/Tabelle1311[[#This Row],[Mean Visc. 1 '[mPas']]]</f>
        <v>#DIV/0!</v>
      </c>
      <c r="AD98" s="7" t="e">
        <f>[1]!Tabelle1326[[#This Row],[SD 2]]/[1]!Tabelle1326[[#This Row],[Mean Visc. 2 '[mPas']2]]</f>
        <v>#DIV/0!</v>
      </c>
      <c r="AE98" s="7" t="e">
        <f>[1]!Tabelle1326[[#This Row],[SD 3]]/[1]!Tabelle1326[[#This Row],[Mean Visc. 3 '[mPas']3]]</f>
        <v>#DIV/0!</v>
      </c>
    </row>
    <row r="99" spans="1:31" x14ac:dyDescent="0.3">
      <c r="A99">
        <v>98</v>
      </c>
      <c r="B99" s="4"/>
      <c r="C99" s="5"/>
      <c r="D99" s="7">
        <v>10</v>
      </c>
      <c r="E99" t="s">
        <v>173</v>
      </c>
      <c r="F99" t="s">
        <v>199</v>
      </c>
      <c r="G99" s="23"/>
      <c r="H99" s="11" t="s">
        <v>198</v>
      </c>
      <c r="I99" s="9" t="s">
        <v>12</v>
      </c>
      <c r="J99" s="7">
        <v>24.9</v>
      </c>
      <c r="K99" s="7">
        <v>10</v>
      </c>
      <c r="L99" s="7">
        <v>31.86</v>
      </c>
      <c r="M99" s="7">
        <v>398</v>
      </c>
      <c r="N99" s="7" t="e">
        <f>[1]!Tabelle1321011121516[[#This Row],[Anzahl Frames]]/[1]!Tabelle1321011121516[[#This Row],[Aufnahmezeit '[s']]]</f>
        <v>#DIV/0!</v>
      </c>
      <c r="O99" s="6" t="e">
        <f>1/[1]!Tabelle1321011121516[[#This Row],[Mean fps ]]</f>
        <v>#DIV/0!</v>
      </c>
      <c r="P99" s="7">
        <v>40</v>
      </c>
      <c r="Q99" s="3"/>
      <c r="R99" s="11"/>
      <c r="S99" s="7">
        <v>1.3620000000000001</v>
      </c>
      <c r="T99" s="7">
        <v>1.1539999999999999</v>
      </c>
      <c r="U99" s="7">
        <v>1.6619999999999999</v>
      </c>
      <c r="V99" s="7"/>
      <c r="W99" s="7"/>
      <c r="X99" s="7"/>
      <c r="Y99" s="7"/>
      <c r="Z99" s="7"/>
      <c r="AA99" s="7"/>
      <c r="AB99" s="7"/>
      <c r="AC99" s="7" t="e">
        <f>Tabelle1311[[#This Row],[SD 1]]/Tabelle1311[[#This Row],[Mean Visc. 1 '[mPas']]]</f>
        <v>#DIV/0!</v>
      </c>
      <c r="AD99" s="7" t="e">
        <f>[1]!Tabelle1326[[#This Row],[SD 2]]/[1]!Tabelle1326[[#This Row],[Mean Visc. 2 '[mPas']2]]</f>
        <v>#DIV/0!</v>
      </c>
      <c r="AE99" s="7" t="e">
        <f>[1]!Tabelle1326[[#This Row],[SD 3]]/[1]!Tabelle1326[[#This Row],[Mean Visc. 3 '[mPas']3]]</f>
        <v>#DIV/0!</v>
      </c>
    </row>
    <row r="100" spans="1:31" x14ac:dyDescent="0.3">
      <c r="A100">
        <v>99</v>
      </c>
      <c r="B100" s="4"/>
      <c r="C100" s="5"/>
      <c r="D100" s="7">
        <v>10</v>
      </c>
      <c r="E100" t="s">
        <v>173</v>
      </c>
      <c r="F100" t="s">
        <v>199</v>
      </c>
      <c r="G100" s="23"/>
      <c r="H100" s="11" t="s">
        <v>198</v>
      </c>
      <c r="I100" s="9" t="s">
        <v>12</v>
      </c>
      <c r="J100" s="7">
        <v>24.6</v>
      </c>
      <c r="K100" s="7">
        <v>10</v>
      </c>
      <c r="L100" s="7">
        <v>30.08</v>
      </c>
      <c r="M100" s="7">
        <v>376</v>
      </c>
      <c r="N100" s="7" t="e">
        <f>[1]!Tabelle1321011121516[[#This Row],[Anzahl Frames]]/[1]!Tabelle1321011121516[[#This Row],[Aufnahmezeit '[s']]]</f>
        <v>#DIV/0!</v>
      </c>
      <c r="O100" s="6" t="e">
        <f>1/[1]!Tabelle1321011121516[[#This Row],[Mean fps ]]</f>
        <v>#DIV/0!</v>
      </c>
      <c r="P100" s="7">
        <v>40</v>
      </c>
      <c r="Q100" s="3"/>
      <c r="R100" s="11"/>
      <c r="S100" s="7">
        <v>1.3029999999999999</v>
      </c>
      <c r="T100" s="7">
        <v>0.93200000000000005</v>
      </c>
      <c r="U100" s="7">
        <v>1.179</v>
      </c>
      <c r="V100" s="7"/>
      <c r="W100" s="7"/>
      <c r="X100" s="7"/>
      <c r="Y100" s="7"/>
      <c r="Z100" s="7"/>
      <c r="AA100" s="7"/>
      <c r="AB100" s="7"/>
      <c r="AC100" s="7" t="e">
        <f>Tabelle1311[[#This Row],[SD 1]]/Tabelle1311[[#This Row],[Mean Visc. 1 '[mPas']]]</f>
        <v>#DIV/0!</v>
      </c>
      <c r="AD100" s="7" t="e">
        <f>[1]!Tabelle1326[[#This Row],[SD 2]]/[1]!Tabelle1326[[#This Row],[Mean Visc. 2 '[mPas']2]]</f>
        <v>#DIV/0!</v>
      </c>
      <c r="AE100" s="7" t="e">
        <f>[1]!Tabelle1326[[#This Row],[SD 3]]/[1]!Tabelle1326[[#This Row],[Mean Visc. 3 '[mPas']3]]</f>
        <v>#DIV/0!</v>
      </c>
    </row>
    <row r="101" spans="1:31" x14ac:dyDescent="0.3">
      <c r="A101">
        <v>100</v>
      </c>
      <c r="B101" s="4"/>
      <c r="C101" s="5"/>
      <c r="D101" s="7">
        <v>10</v>
      </c>
      <c r="E101" t="s">
        <v>173</v>
      </c>
      <c r="F101" t="s">
        <v>199</v>
      </c>
      <c r="G101" s="23"/>
      <c r="H101" s="11" t="s">
        <v>198</v>
      </c>
      <c r="I101" s="9" t="s">
        <v>12</v>
      </c>
      <c r="J101" s="7">
        <v>24.9</v>
      </c>
      <c r="K101" s="7">
        <v>10</v>
      </c>
      <c r="L101" s="7">
        <v>30.08</v>
      </c>
      <c r="M101" s="7">
        <v>377</v>
      </c>
      <c r="N101" s="7" t="e">
        <f>[1]!Tabelle1321011121516[[#This Row],[Anzahl Frames]]/[1]!Tabelle1321011121516[[#This Row],[Aufnahmezeit '[s']]]</f>
        <v>#DIV/0!</v>
      </c>
      <c r="O101" s="6" t="e">
        <f>1/[1]!Tabelle1321011121516[[#This Row],[Mean fps ]]</f>
        <v>#DIV/0!</v>
      </c>
      <c r="P101" s="7">
        <v>40</v>
      </c>
      <c r="Q101" s="3"/>
      <c r="R101" s="11"/>
      <c r="S101" s="7">
        <v>1.165</v>
      </c>
      <c r="T101" s="7">
        <v>0.874</v>
      </c>
      <c r="U101" s="7">
        <v>1.556</v>
      </c>
      <c r="V101" s="7"/>
      <c r="W101" s="7">
        <f>SUM(S92:S101)/10</f>
        <v>1.3672999999999997</v>
      </c>
      <c r="X101" s="7">
        <f t="shared" ref="X101:Y101" si="9">SUM(T92:T101)/10</f>
        <v>1.1106000000000003</v>
      </c>
      <c r="Y101" s="7">
        <f t="shared" si="9"/>
        <v>1.7162999999999999</v>
      </c>
      <c r="Z101" s="7">
        <f>_xlfn.STDEV.S(S92:S101)</f>
        <v>0.13021183595288957</v>
      </c>
      <c r="AA101" s="7">
        <f>_xlfn.STDEV.S(T92:T101)</f>
        <v>0.15422220621197391</v>
      </c>
      <c r="AB101" s="7">
        <f>_xlfn.STDEV.S(U92:U101)</f>
        <v>0.27675301865261176</v>
      </c>
      <c r="AC101" s="7">
        <f>Tabelle1311[[#This Row],[SD 1]]/Tabelle1311[[#This Row],[Mean Visc. 1 '[mPas']]]</f>
        <v>9.5232820853426159E-2</v>
      </c>
      <c r="AD101" s="7" t="e">
        <f>[1]!Tabelle1327[[#This Row],[SD 2]]/[1]!Tabelle1327[[#This Row],[Mean Visc. 2 '[mPas']2]]</f>
        <v>#DIV/0!</v>
      </c>
      <c r="AE101" s="7" t="e">
        <f>[1]!Tabelle1327[[#This Row],[SD 3]]/[1]!Tabelle1327[[#This Row],[Mean Visc. 3 '[mPas']3]]</f>
        <v>#DIV/0!</v>
      </c>
    </row>
    <row r="102" spans="1:31" x14ac:dyDescent="0.3">
      <c r="A102">
        <v>101</v>
      </c>
      <c r="B102" s="4"/>
      <c r="C102" s="5"/>
      <c r="D102" s="7">
        <v>11</v>
      </c>
      <c r="E102" t="s">
        <v>171</v>
      </c>
      <c r="F102" t="s">
        <v>192</v>
      </c>
      <c r="G102" s="23"/>
      <c r="H102" s="11" t="s">
        <v>198</v>
      </c>
      <c r="I102" s="9" t="s">
        <v>12</v>
      </c>
      <c r="J102" s="7">
        <v>23.3</v>
      </c>
      <c r="K102" s="7">
        <v>10</v>
      </c>
      <c r="L102" s="7">
        <v>31.68</v>
      </c>
      <c r="M102" s="7">
        <v>396</v>
      </c>
      <c r="N102" s="7">
        <f>[1]!Tabelle1321011121516[[#This Row],[Anzahl Frames]]/[1]!Tabelle1321011121516[[#This Row],[Aufnahmezeit '[s']]]</f>
        <v>12.62448740480375</v>
      </c>
      <c r="O102" s="6">
        <f>1/[1]!Tabelle1321011121516[[#This Row],[Mean fps ]]</f>
        <v>7.9211136890951273E-2</v>
      </c>
      <c r="P102" s="7">
        <v>40</v>
      </c>
      <c r="Q102" s="3"/>
      <c r="R102" s="11"/>
      <c r="S102" s="7">
        <v>1.3859999999999999</v>
      </c>
      <c r="T102" s="7">
        <v>1.1160000000000001</v>
      </c>
      <c r="U102" s="7">
        <v>1.8280000000000001</v>
      </c>
      <c r="V102" s="7"/>
      <c r="W102" s="7"/>
      <c r="X102" s="7"/>
      <c r="Y102" s="7"/>
      <c r="Z102" s="7"/>
      <c r="AA102" s="7"/>
      <c r="AB102" s="7"/>
      <c r="AC102" s="7" t="e">
        <f>Tabelle1311[[#This Row],[SD 1]]/Tabelle1311[[#This Row],[Mean Visc. 1 '[mPas']]]</f>
        <v>#DIV/0!</v>
      </c>
      <c r="AD102" s="7" t="e">
        <f>[1]!Tabelle1327[[#This Row],[SD 2]]/[1]!Tabelle1327[[#This Row],[Mean Visc. 2 '[mPas']2]]</f>
        <v>#DIV/0!</v>
      </c>
      <c r="AE102" s="7" t="e">
        <f>[1]!Tabelle1327[[#This Row],[SD 3]]/[1]!Tabelle1327[[#This Row],[Mean Visc. 3 '[mPas']3]]</f>
        <v>#DIV/0!</v>
      </c>
    </row>
    <row r="103" spans="1:31" x14ac:dyDescent="0.3">
      <c r="A103">
        <v>102</v>
      </c>
      <c r="B103" s="4"/>
      <c r="C103" s="5"/>
      <c r="D103" s="7">
        <v>11</v>
      </c>
      <c r="E103" t="s">
        <v>171</v>
      </c>
      <c r="F103" t="s">
        <v>192</v>
      </c>
      <c r="G103" s="23"/>
      <c r="H103" s="11" t="s">
        <v>198</v>
      </c>
      <c r="I103" s="9" t="s">
        <v>12</v>
      </c>
      <c r="J103" s="7">
        <v>23.4</v>
      </c>
      <c r="K103" s="7">
        <v>10</v>
      </c>
      <c r="L103" s="7">
        <v>30</v>
      </c>
      <c r="M103" s="7">
        <v>376</v>
      </c>
      <c r="N103" s="7">
        <f>[1]!Tabelle1321011121516[[#This Row],[Anzahl Frames]]/[1]!Tabelle1321011121516[[#This Row],[Aufnahmezeit '[s']]]</f>
        <v>12.492250464972102</v>
      </c>
      <c r="O103" s="6">
        <f>1/[1]!Tabelle1321011121516[[#This Row],[Mean fps ]]</f>
        <v>8.0049627791563271E-2</v>
      </c>
      <c r="P103" s="7">
        <v>40</v>
      </c>
      <c r="Q103" s="3"/>
      <c r="R103" s="11"/>
      <c r="S103" s="7">
        <v>1.405</v>
      </c>
      <c r="T103" s="7">
        <v>1.147</v>
      </c>
      <c r="U103" s="7">
        <v>1.879</v>
      </c>
      <c r="V103" s="7"/>
      <c r="W103" s="7"/>
      <c r="X103" s="7"/>
      <c r="Y103" s="7"/>
      <c r="Z103" s="7"/>
      <c r="AA103" s="7"/>
      <c r="AB103" s="7"/>
      <c r="AC103" s="7" t="e">
        <f>Tabelle1311[[#This Row],[SD 1]]/Tabelle1311[[#This Row],[Mean Visc. 1 '[mPas']]]</f>
        <v>#DIV/0!</v>
      </c>
      <c r="AD103" s="7" t="e">
        <f>[1]!Tabelle1327[[#This Row],[SD 2]]/[1]!Tabelle1327[[#This Row],[Mean Visc. 2 '[mPas']2]]</f>
        <v>#DIV/0!</v>
      </c>
      <c r="AE103" s="7" t="e">
        <f>[1]!Tabelle1327[[#This Row],[SD 3]]/[1]!Tabelle1327[[#This Row],[Mean Visc. 3 '[mPas']3]]</f>
        <v>#DIV/0!</v>
      </c>
    </row>
    <row r="104" spans="1:31" x14ac:dyDescent="0.3">
      <c r="A104">
        <v>103</v>
      </c>
      <c r="B104" s="4"/>
      <c r="C104" s="5"/>
      <c r="D104" s="7">
        <v>11</v>
      </c>
      <c r="E104" t="s">
        <v>171</v>
      </c>
      <c r="F104" t="s">
        <v>192</v>
      </c>
      <c r="G104" s="23"/>
      <c r="H104" s="11" t="s">
        <v>198</v>
      </c>
      <c r="I104" s="9" t="s">
        <v>12</v>
      </c>
      <c r="J104" s="7">
        <v>23.4</v>
      </c>
      <c r="K104" s="7">
        <v>10</v>
      </c>
      <c r="L104" s="7">
        <v>30.63</v>
      </c>
      <c r="M104" s="7">
        <v>383</v>
      </c>
      <c r="N104" s="7">
        <f>[1]!Tabelle1321011121516[[#This Row],[Anzahl Frames]]/[1]!Tabelle1321011121516[[#This Row],[Aufnahmezeit '[s']]]</f>
        <v>12.5</v>
      </c>
      <c r="O104" s="6">
        <f>1/[1]!Tabelle1321011121516[[#This Row],[Mean fps ]]</f>
        <v>0.08</v>
      </c>
      <c r="P104" s="7">
        <v>40</v>
      </c>
      <c r="Q104" s="3"/>
      <c r="R104" s="11"/>
      <c r="S104" s="7">
        <v>1.496</v>
      </c>
      <c r="T104" s="7">
        <v>1.135</v>
      </c>
      <c r="U104" s="7">
        <v>1.9059999999999999</v>
      </c>
      <c r="V104" s="7"/>
      <c r="W104" s="7"/>
      <c r="X104" s="7"/>
      <c r="Y104" s="7"/>
      <c r="Z104" s="7"/>
      <c r="AA104" s="7"/>
      <c r="AB104" s="7"/>
      <c r="AC104" s="7" t="e">
        <f>Tabelle1311[[#This Row],[SD 1]]/Tabelle1311[[#This Row],[Mean Visc. 1 '[mPas']]]</f>
        <v>#DIV/0!</v>
      </c>
      <c r="AD104" s="7" t="e">
        <f>[1]!Tabelle1327[[#This Row],[SD 2]]/[1]!Tabelle1327[[#This Row],[Mean Visc. 2 '[mPas']2]]</f>
        <v>#DIV/0!</v>
      </c>
      <c r="AE104" s="7" t="e">
        <f>[1]!Tabelle1327[[#This Row],[SD 3]]/[1]!Tabelle1327[[#This Row],[Mean Visc. 3 '[mPas']3]]</f>
        <v>#DIV/0!</v>
      </c>
    </row>
    <row r="105" spans="1:31" x14ac:dyDescent="0.3">
      <c r="A105">
        <v>104</v>
      </c>
      <c r="B105" s="4"/>
      <c r="C105" s="5"/>
      <c r="D105" s="7">
        <v>11</v>
      </c>
      <c r="E105" t="s">
        <v>171</v>
      </c>
      <c r="F105" t="s">
        <v>192</v>
      </c>
      <c r="G105" s="23"/>
      <c r="H105" s="11" t="s">
        <v>198</v>
      </c>
      <c r="I105" s="9" t="s">
        <v>12</v>
      </c>
      <c r="J105" s="7">
        <v>23.5</v>
      </c>
      <c r="K105" s="7">
        <v>10</v>
      </c>
      <c r="L105" s="7">
        <v>31.76</v>
      </c>
      <c r="M105" s="7">
        <v>397</v>
      </c>
      <c r="N105" s="7">
        <f>[1]!Tabelle1321011121516[[#This Row],[Anzahl Frames]]/[1]!Tabelle1321011121516[[#This Row],[Aufnahmezeit '[s']]]</f>
        <v>12.492033142128745</v>
      </c>
      <c r="O105" s="6">
        <f>1/[1]!Tabelle1321011121516[[#This Row],[Mean fps ]]</f>
        <v>8.0051020408163254E-2</v>
      </c>
      <c r="P105" s="7">
        <v>40</v>
      </c>
      <c r="Q105" s="3"/>
      <c r="R105" s="11"/>
      <c r="S105" s="7">
        <v>1.4510000000000001</v>
      </c>
      <c r="T105" s="7">
        <v>1.1639999999999999</v>
      </c>
      <c r="U105" s="7">
        <v>1.883</v>
      </c>
      <c r="V105" s="7"/>
      <c r="W105" s="7"/>
      <c r="X105" s="7"/>
      <c r="Y105" s="7"/>
      <c r="Z105" s="7"/>
      <c r="AA105" s="7"/>
      <c r="AB105" s="7"/>
      <c r="AC105" s="7" t="e">
        <f>Tabelle1311[[#This Row],[SD 1]]/Tabelle1311[[#This Row],[Mean Visc. 1 '[mPas']]]</f>
        <v>#DIV/0!</v>
      </c>
      <c r="AD105" s="7" t="e">
        <f>[1]!Tabelle1327[[#This Row],[SD 2]]/[1]!Tabelle1327[[#This Row],[Mean Visc. 2 '[mPas']2]]</f>
        <v>#DIV/0!</v>
      </c>
      <c r="AE105" s="7" t="e">
        <f>[1]!Tabelle1327[[#This Row],[SD 3]]/[1]!Tabelle1327[[#This Row],[Mean Visc. 3 '[mPas']3]]</f>
        <v>#DIV/0!</v>
      </c>
    </row>
    <row r="106" spans="1:31" ht="15" thickBot="1" x14ac:dyDescent="0.35">
      <c r="A106">
        <v>105</v>
      </c>
      <c r="B106" s="4"/>
      <c r="C106" s="16"/>
      <c r="D106" s="7">
        <v>11</v>
      </c>
      <c r="E106" t="s">
        <v>171</v>
      </c>
      <c r="F106" t="s">
        <v>192</v>
      </c>
      <c r="G106" s="24"/>
      <c r="H106" s="21" t="s">
        <v>198</v>
      </c>
      <c r="I106" s="9" t="s">
        <v>12</v>
      </c>
      <c r="J106" s="17">
        <v>23.5</v>
      </c>
      <c r="K106" s="17">
        <v>10</v>
      </c>
      <c r="L106" s="17">
        <v>32.4</v>
      </c>
      <c r="M106" s="17">
        <v>405</v>
      </c>
      <c r="N106" s="17">
        <f>[1]!Tabelle1321011121516[[#This Row],[Anzahl Frames]]/[1]!Tabelle1321011121516[[#This Row],[Aufnahmezeit '[s']]]</f>
        <v>12.491781722550952</v>
      </c>
      <c r="O106" s="25">
        <f>1/[1]!Tabelle1321011121516[[#This Row],[Mean fps ]]</f>
        <v>8.0052631578947375E-2</v>
      </c>
      <c r="P106" s="17">
        <v>40</v>
      </c>
      <c r="Q106" s="20"/>
      <c r="R106" s="21"/>
      <c r="S106" s="17">
        <v>1.4790000000000001</v>
      </c>
      <c r="T106" s="17">
        <v>1.2450000000000001</v>
      </c>
      <c r="U106" s="17">
        <v>1.954</v>
      </c>
      <c r="V106" s="17"/>
      <c r="W106" s="17"/>
      <c r="X106" s="17"/>
      <c r="Y106" s="17"/>
      <c r="Z106" s="17"/>
      <c r="AA106" s="17"/>
      <c r="AB106" s="17"/>
      <c r="AC106" s="17" t="e">
        <f>Tabelle1311[[#This Row],[SD 1]]/Tabelle1311[[#This Row],[Mean Visc. 1 '[mPas']]]</f>
        <v>#DIV/0!</v>
      </c>
      <c r="AD106" s="17" t="e">
        <f>[1]!Tabelle1327[[#This Row],[SD 2]]/[1]!Tabelle1327[[#This Row],[Mean Visc. 2 '[mPas']2]]</f>
        <v>#DIV/0!</v>
      </c>
      <c r="AE106" s="17" t="e">
        <f>[1]!Tabelle1327[[#This Row],[SD 3]]/[1]!Tabelle1327[[#This Row],[Mean Visc. 3 '[mPas']3]]</f>
        <v>#DIV/0!</v>
      </c>
    </row>
    <row r="107" spans="1:31" ht="15" thickTop="1" x14ac:dyDescent="0.3">
      <c r="A107">
        <v>106</v>
      </c>
      <c r="B107" s="4"/>
      <c r="C107" s="5"/>
      <c r="D107" s="7">
        <v>11</v>
      </c>
      <c r="E107" t="s">
        <v>171</v>
      </c>
      <c r="F107" t="s">
        <v>192</v>
      </c>
      <c r="G107" s="23"/>
      <c r="H107" s="11" t="s">
        <v>198</v>
      </c>
      <c r="I107" s="9" t="s">
        <v>12</v>
      </c>
      <c r="J107" s="7">
        <v>23.6</v>
      </c>
      <c r="K107" s="7">
        <v>10</v>
      </c>
      <c r="L107" s="7">
        <v>31.36</v>
      </c>
      <c r="M107" s="7">
        <v>392</v>
      </c>
      <c r="N107" s="7">
        <f>[1]!Tabelle1321011121516[[#This Row],[Anzahl Frames]]/[1]!Tabelle1321011121516[[#This Row],[Aufnahmezeit '[s']]]</f>
        <v>12.532808398950131</v>
      </c>
      <c r="O107" s="6">
        <f>1/[1]!Tabelle1321011121516[[#This Row],[Mean fps ]]</f>
        <v>7.9790575916230372E-2</v>
      </c>
      <c r="P107" s="7">
        <v>40</v>
      </c>
      <c r="Q107" s="3"/>
      <c r="R107" s="11"/>
      <c r="S107" s="7">
        <v>1.5840000000000001</v>
      </c>
      <c r="T107" s="7">
        <v>1.304</v>
      </c>
      <c r="U107" s="7">
        <v>1.899</v>
      </c>
      <c r="V107" s="7"/>
      <c r="W107" s="7"/>
      <c r="X107" s="7"/>
      <c r="Y107" s="7"/>
      <c r="Z107" s="7"/>
      <c r="AA107" s="7"/>
      <c r="AB107" s="7"/>
      <c r="AC107" s="7" t="e">
        <f>Tabelle1311[[#This Row],[SD 1]]/Tabelle1311[[#This Row],[Mean Visc. 1 '[mPas']]]</f>
        <v>#DIV/0!</v>
      </c>
      <c r="AD107" s="7" t="e">
        <f>[1]!Tabelle1327[[#This Row],[SD 2]]/[1]!Tabelle1327[[#This Row],[Mean Visc. 2 '[mPas']2]]</f>
        <v>#DIV/0!</v>
      </c>
      <c r="AE107" s="7" t="e">
        <f>[1]!Tabelle1327[[#This Row],[SD 3]]/[1]!Tabelle1327[[#This Row],[Mean Visc. 3 '[mPas']3]]</f>
        <v>#DIV/0!</v>
      </c>
    </row>
    <row r="108" spans="1:31" x14ac:dyDescent="0.3">
      <c r="A108">
        <v>107</v>
      </c>
      <c r="B108" s="4"/>
      <c r="C108" s="5"/>
      <c r="D108" s="7">
        <v>11</v>
      </c>
      <c r="E108" t="s">
        <v>171</v>
      </c>
      <c r="F108" t="s">
        <v>192</v>
      </c>
      <c r="G108" s="23"/>
      <c r="H108" s="11" t="s">
        <v>198</v>
      </c>
      <c r="I108" s="9" t="s">
        <v>12</v>
      </c>
      <c r="J108" s="7">
        <v>23.7</v>
      </c>
      <c r="K108" s="7">
        <v>10</v>
      </c>
      <c r="L108" s="7">
        <v>33.369999999999997</v>
      </c>
      <c r="M108" s="7">
        <v>417</v>
      </c>
      <c r="N108" s="7">
        <f>[1]!Tabelle1321011121516[[#This Row],[Anzahl Frames]]/[1]!Tabelle1321011121516[[#This Row],[Aufnahmezeit '[s']]]</f>
        <v>12.534059945504087</v>
      </c>
      <c r="O108" s="6">
        <f>1/[1]!Tabelle1321011121516[[#This Row],[Mean fps ]]</f>
        <v>7.978260869565218E-2</v>
      </c>
      <c r="P108" s="7">
        <v>40</v>
      </c>
      <c r="Q108" s="3"/>
      <c r="R108" s="11"/>
      <c r="S108" s="7">
        <v>1.46</v>
      </c>
      <c r="T108" s="7">
        <v>1.1679999999999999</v>
      </c>
      <c r="U108" s="7">
        <v>1.8879999999999999</v>
      </c>
      <c r="V108" s="7"/>
      <c r="W108" s="7"/>
      <c r="X108" s="7"/>
      <c r="Y108" s="7"/>
      <c r="Z108" s="7"/>
      <c r="AA108" s="7"/>
      <c r="AB108" s="7"/>
      <c r="AC108" s="7" t="e">
        <f>Tabelle1311[[#This Row],[SD 1]]/Tabelle1311[[#This Row],[Mean Visc. 1 '[mPas']]]</f>
        <v>#DIV/0!</v>
      </c>
      <c r="AD108" s="7" t="e">
        <f>[1]!Tabelle1327[[#This Row],[SD 2]]/[1]!Tabelle1327[[#This Row],[Mean Visc. 2 '[mPas']2]]</f>
        <v>#DIV/0!</v>
      </c>
      <c r="AE108" s="7" t="e">
        <f>[1]!Tabelle1327[[#This Row],[SD 3]]/[1]!Tabelle1327[[#This Row],[Mean Visc. 3 '[mPas']3]]</f>
        <v>#DIV/0!</v>
      </c>
    </row>
    <row r="109" spans="1:31" x14ac:dyDescent="0.3">
      <c r="A109">
        <v>108</v>
      </c>
      <c r="B109" s="4"/>
      <c r="C109" s="5"/>
      <c r="D109" s="7">
        <v>11</v>
      </c>
      <c r="E109" t="s">
        <v>171</v>
      </c>
      <c r="F109" t="s">
        <v>192</v>
      </c>
      <c r="G109" s="23"/>
      <c r="H109" s="11" t="s">
        <v>198</v>
      </c>
      <c r="I109" s="9" t="s">
        <v>12</v>
      </c>
      <c r="J109" s="7">
        <v>23.7</v>
      </c>
      <c r="K109" s="7">
        <v>10</v>
      </c>
      <c r="L109" s="7">
        <v>31.19</v>
      </c>
      <c r="M109" s="7">
        <v>390</v>
      </c>
      <c r="N109" s="7">
        <f>[1]!Tabelle1321011121516[[#This Row],[Anzahl Frames]]/[1]!Tabelle1321011121516[[#This Row],[Aufnahmezeit '[s']]]</f>
        <v>12.491716368455931</v>
      </c>
      <c r="O109" s="6">
        <f>1/[1]!Tabelle1321011121516[[#This Row],[Mean fps ]]</f>
        <v>8.0053050397877981E-2</v>
      </c>
      <c r="P109" s="7">
        <v>40</v>
      </c>
      <c r="Q109" s="3"/>
      <c r="R109" s="11"/>
      <c r="S109" s="7">
        <v>1.5489999999999999</v>
      </c>
      <c r="T109" s="7">
        <v>1.2430000000000001</v>
      </c>
      <c r="U109" s="7">
        <v>1.851</v>
      </c>
      <c r="V109" s="7"/>
      <c r="W109" s="7"/>
      <c r="X109" s="7"/>
      <c r="Y109" s="7"/>
      <c r="Z109" s="7"/>
      <c r="AA109" s="7"/>
      <c r="AB109" s="7"/>
      <c r="AC109" s="7" t="e">
        <f>Tabelle1311[[#This Row],[SD 1]]/Tabelle1311[[#This Row],[Mean Visc. 1 '[mPas']]]</f>
        <v>#DIV/0!</v>
      </c>
      <c r="AD109" s="7" t="e">
        <f>[1]!Tabelle1327[[#This Row],[SD 2]]/[1]!Tabelle1327[[#This Row],[Mean Visc. 2 '[mPas']2]]</f>
        <v>#DIV/0!</v>
      </c>
      <c r="AE109" s="7" t="e">
        <f>[1]!Tabelle1327[[#This Row],[SD 3]]/[1]!Tabelle1327[[#This Row],[Mean Visc. 3 '[mPas']3]]</f>
        <v>#DIV/0!</v>
      </c>
    </row>
    <row r="110" spans="1:31" x14ac:dyDescent="0.3">
      <c r="A110">
        <v>109</v>
      </c>
      <c r="B110" s="4"/>
      <c r="C110" s="5"/>
      <c r="D110" s="7">
        <v>11</v>
      </c>
      <c r="E110" t="s">
        <v>171</v>
      </c>
      <c r="F110" t="s">
        <v>192</v>
      </c>
      <c r="G110" s="23"/>
      <c r="H110" s="11" t="s">
        <v>198</v>
      </c>
      <c r="I110" s="9" t="s">
        <v>12</v>
      </c>
      <c r="J110" s="7">
        <v>23.8</v>
      </c>
      <c r="K110" s="7">
        <v>10</v>
      </c>
      <c r="L110" s="7">
        <v>31.04</v>
      </c>
      <c r="M110" s="7">
        <v>388</v>
      </c>
      <c r="N110" s="7">
        <f>[1]!Tabelle1321011121516[[#This Row],[Anzahl Frames]]/[1]!Tabelle1321011121516[[#This Row],[Aufnahmezeit '[s']]]</f>
        <v>12.53238341968912</v>
      </c>
      <c r="O110" s="6">
        <f>1/[1]!Tabelle1321011121516[[#This Row],[Mean fps ]]</f>
        <v>7.9793281653746759E-2</v>
      </c>
      <c r="P110" s="7">
        <v>40</v>
      </c>
      <c r="Q110" s="3"/>
      <c r="R110" s="11"/>
      <c r="S110" s="7">
        <v>1.5369999999999999</v>
      </c>
      <c r="T110" s="7">
        <v>1.3029999999999999</v>
      </c>
      <c r="U110" s="7">
        <v>1.9850000000000001</v>
      </c>
      <c r="V110" s="7"/>
      <c r="W110" s="7"/>
      <c r="X110" s="7"/>
      <c r="Y110" s="7"/>
      <c r="Z110" s="7"/>
      <c r="AA110" s="7"/>
      <c r="AB110" s="7"/>
      <c r="AC110" s="7" t="e">
        <f>Tabelle1311[[#This Row],[SD 1]]/Tabelle1311[[#This Row],[Mean Visc. 1 '[mPas']]]</f>
        <v>#DIV/0!</v>
      </c>
      <c r="AD110" s="7" t="e">
        <f>[1]!Tabelle1327[[#This Row],[SD 2]]/[1]!Tabelle1327[[#This Row],[Mean Visc. 2 '[mPas']2]]</f>
        <v>#DIV/0!</v>
      </c>
      <c r="AE110" s="7" t="e">
        <f>[1]!Tabelle1327[[#This Row],[SD 3]]/[1]!Tabelle1327[[#This Row],[Mean Visc. 3 '[mPas']3]]</f>
        <v>#DIV/0!</v>
      </c>
    </row>
    <row r="111" spans="1:31" x14ac:dyDescent="0.3">
      <c r="A111">
        <v>110</v>
      </c>
      <c r="B111" s="4"/>
      <c r="C111" s="5"/>
      <c r="D111" s="7">
        <v>11</v>
      </c>
      <c r="E111" t="s">
        <v>171</v>
      </c>
      <c r="F111" t="s">
        <v>192</v>
      </c>
      <c r="G111" s="23"/>
      <c r="H111" s="11" t="s">
        <v>198</v>
      </c>
      <c r="I111" s="9" t="s">
        <v>12</v>
      </c>
      <c r="J111" s="7">
        <v>23.8</v>
      </c>
      <c r="K111" s="7">
        <v>10</v>
      </c>
      <c r="L111" s="7">
        <v>31.28</v>
      </c>
      <c r="M111" s="7">
        <v>391</v>
      </c>
      <c r="N111" s="7">
        <f>[1]!Tabelle1321011121516[[#This Row],[Anzahl Frames]]/[1]!Tabelle1321011121516[[#This Row],[Aufnahmezeit '[s']]]</f>
        <v>12.532808398950131</v>
      </c>
      <c r="O111" s="6">
        <f>1/[1]!Tabelle1321011121516[[#This Row],[Mean fps ]]</f>
        <v>7.9790575916230372E-2</v>
      </c>
      <c r="P111" s="7">
        <v>40</v>
      </c>
      <c r="Q111" s="3"/>
      <c r="R111" s="11"/>
      <c r="S111" s="7">
        <v>1.5309999999999999</v>
      </c>
      <c r="T111" s="7">
        <v>1.329</v>
      </c>
      <c r="U111" s="7">
        <v>1.946</v>
      </c>
      <c r="V111" s="7"/>
      <c r="W111" s="7">
        <f>SUM(S102:S111)/10</f>
        <v>1.4877999999999998</v>
      </c>
      <c r="X111" s="7">
        <f t="shared" ref="X111:Y111" si="10">SUM(T102:T111)/10</f>
        <v>1.2154</v>
      </c>
      <c r="Y111" s="7">
        <f t="shared" si="10"/>
        <v>1.9019000000000001</v>
      </c>
      <c r="Z111" s="7">
        <f>_xlfn.STDEV.S(S102:S111)</f>
        <v>6.3924956003113528E-2</v>
      </c>
      <c r="AA111" s="7">
        <f>_xlfn.STDEV.S(T102:T111)</f>
        <v>7.8865849530847132E-2</v>
      </c>
      <c r="AB111" s="7">
        <f>_xlfn.STDEV.S(U102:U111)</f>
        <v>4.7977888425583905E-2</v>
      </c>
      <c r="AC111" s="7">
        <f>Tabelle1311[[#This Row],[SD 1]]/Tabelle1311[[#This Row],[Mean Visc. 1 '[mPas']]]</f>
        <v>4.2966094907321908E-2</v>
      </c>
      <c r="AD111" s="7">
        <f>[1]!Tabelle1328[[#This Row],[SD 2]]/[1]!Tabelle1328[[#This Row],[Mean Visc. 2 '[mPas']2]]</f>
        <v>4.8384068732848291E-2</v>
      </c>
      <c r="AE111" s="7">
        <f>[1]!Tabelle1328[[#This Row],[SD 3]]/[1]!Tabelle1328[[#This Row],[Mean Visc. 3 '[mPas']3]]</f>
        <v>5.9624307484905097E-2</v>
      </c>
    </row>
    <row r="112" spans="1:31" x14ac:dyDescent="0.3">
      <c r="A112">
        <v>111</v>
      </c>
      <c r="B112" s="4"/>
      <c r="C112" s="5"/>
      <c r="D112" s="7">
        <v>12</v>
      </c>
      <c r="E112" t="s">
        <v>171</v>
      </c>
      <c r="F112" t="s">
        <v>199</v>
      </c>
      <c r="G112" s="23"/>
      <c r="H112" s="11" t="s">
        <v>198</v>
      </c>
      <c r="I112" s="9" t="s">
        <v>12</v>
      </c>
      <c r="J112" s="7">
        <v>22.8</v>
      </c>
      <c r="K112" s="7">
        <v>26</v>
      </c>
      <c r="L112" s="7">
        <v>30.33</v>
      </c>
      <c r="M112" s="7">
        <v>383</v>
      </c>
      <c r="N112" s="7" t="e">
        <f>[1]!Tabelle1321011121516[[#This Row],[Anzahl Frames]]/[1]!Tabelle1321011121516[[#This Row],[Aufnahmezeit '[s']]]</f>
        <v>#DIV/0!</v>
      </c>
      <c r="O112" s="6" t="e">
        <f>1/[1]!Tabelle1321011121516[[#This Row],[Mean fps ]]</f>
        <v>#DIV/0!</v>
      </c>
      <c r="P112" s="7">
        <v>40</v>
      </c>
      <c r="Q112" s="3"/>
      <c r="R112" s="11"/>
      <c r="S112" s="7">
        <v>1.22</v>
      </c>
      <c r="T112" s="7">
        <v>0.94899999999999995</v>
      </c>
      <c r="U112" s="7">
        <v>1.6</v>
      </c>
      <c r="V112" s="7"/>
      <c r="W112" s="7"/>
      <c r="X112" s="7"/>
      <c r="Y112" s="7"/>
      <c r="Z112" s="7"/>
      <c r="AA112" s="7"/>
      <c r="AB112" s="7"/>
      <c r="AC112" s="7" t="e">
        <f>Tabelle1311[[#This Row],[SD 1]]/Tabelle1311[[#This Row],[Mean Visc. 1 '[mPas']]]</f>
        <v>#DIV/0!</v>
      </c>
      <c r="AD112" s="7" t="e">
        <f>[1]!Tabelle1327[[#This Row],[SD 2]]/[1]!Tabelle1327[[#This Row],[Mean Visc. 2 '[mPas']2]]</f>
        <v>#DIV/0!</v>
      </c>
      <c r="AE112" s="7" t="e">
        <f>[1]!Tabelle1327[[#This Row],[SD 3]]/[1]!Tabelle1327[[#This Row],[Mean Visc. 3 '[mPas']3]]</f>
        <v>#DIV/0!</v>
      </c>
    </row>
    <row r="113" spans="1:31" x14ac:dyDescent="0.3">
      <c r="A113">
        <v>112</v>
      </c>
      <c r="B113" s="4"/>
      <c r="C113" s="5"/>
      <c r="D113" s="7">
        <v>12</v>
      </c>
      <c r="E113" t="s">
        <v>171</v>
      </c>
      <c r="F113" t="s">
        <v>199</v>
      </c>
      <c r="G113" s="23"/>
      <c r="H113" s="11" t="s">
        <v>198</v>
      </c>
      <c r="I113" s="9" t="s">
        <v>12</v>
      </c>
      <c r="J113" s="7">
        <v>22.7</v>
      </c>
      <c r="K113" s="7">
        <v>26</v>
      </c>
      <c r="L113" s="7">
        <v>30.08</v>
      </c>
      <c r="M113" s="7">
        <v>376</v>
      </c>
      <c r="N113" s="7" t="e">
        <f>[1]!Tabelle1321011121516[[#This Row],[Anzahl Frames]]/[1]!Tabelle1321011121516[[#This Row],[Aufnahmezeit '[s']]]</f>
        <v>#DIV/0!</v>
      </c>
      <c r="O113" s="6" t="e">
        <f>1/[1]!Tabelle1321011121516[[#This Row],[Mean fps ]]</f>
        <v>#DIV/0!</v>
      </c>
      <c r="P113" s="7">
        <v>40</v>
      </c>
      <c r="Q113" s="3"/>
      <c r="R113" s="11"/>
      <c r="S113" s="7">
        <v>1.198</v>
      </c>
      <c r="T113" s="7">
        <v>1.0680000000000001</v>
      </c>
      <c r="U113" s="7">
        <v>1.613</v>
      </c>
      <c r="V113" s="7"/>
      <c r="W113" s="7"/>
      <c r="X113" s="7"/>
      <c r="Y113" s="7"/>
      <c r="Z113" s="7"/>
      <c r="AA113" s="7"/>
      <c r="AB113" s="7"/>
      <c r="AC113" s="7" t="e">
        <f>Tabelle1311[[#This Row],[SD 1]]/Tabelle1311[[#This Row],[Mean Visc. 1 '[mPas']]]</f>
        <v>#DIV/0!</v>
      </c>
      <c r="AD113" s="7" t="e">
        <f>[1]!Tabelle1327[[#This Row],[SD 2]]/[1]!Tabelle1327[[#This Row],[Mean Visc. 2 '[mPas']2]]</f>
        <v>#DIV/0!</v>
      </c>
      <c r="AE113" s="7" t="e">
        <f>[1]!Tabelle1327[[#This Row],[SD 3]]/[1]!Tabelle1327[[#This Row],[Mean Visc. 3 '[mPas']3]]</f>
        <v>#DIV/0!</v>
      </c>
    </row>
    <row r="114" spans="1:31" x14ac:dyDescent="0.3">
      <c r="A114">
        <v>113</v>
      </c>
      <c r="B114" s="4"/>
      <c r="C114" s="5"/>
      <c r="D114" s="7">
        <v>12</v>
      </c>
      <c r="E114" t="s">
        <v>171</v>
      </c>
      <c r="F114" t="s">
        <v>199</v>
      </c>
      <c r="G114" s="23"/>
      <c r="H114" s="11" t="s">
        <v>198</v>
      </c>
      <c r="I114" s="9" t="s">
        <v>12</v>
      </c>
      <c r="J114" s="7">
        <v>22.6</v>
      </c>
      <c r="K114" s="7">
        <v>26</v>
      </c>
      <c r="L114" s="7">
        <v>30.24</v>
      </c>
      <c r="M114" s="7">
        <v>378</v>
      </c>
      <c r="N114" s="7" t="e">
        <f>[1]!Tabelle1321011121516[[#This Row],[Anzahl Frames]]/[1]!Tabelle1321011121516[[#This Row],[Aufnahmezeit '[s']]]</f>
        <v>#DIV/0!</v>
      </c>
      <c r="O114" s="6" t="e">
        <f>1/[1]!Tabelle1321011121516[[#This Row],[Mean fps ]]</f>
        <v>#DIV/0!</v>
      </c>
      <c r="P114" s="7">
        <v>40</v>
      </c>
      <c r="Q114" s="3"/>
      <c r="R114" s="11"/>
      <c r="S114" s="7">
        <v>1.2350000000000001</v>
      </c>
      <c r="T114" s="7">
        <v>1.0529999999999999</v>
      </c>
      <c r="U114" s="7">
        <v>1.5840000000000001</v>
      </c>
      <c r="V114" s="7"/>
      <c r="W114" s="7"/>
      <c r="X114" s="7"/>
      <c r="Y114" s="7"/>
      <c r="Z114" s="7"/>
      <c r="AA114" s="7"/>
      <c r="AB114" s="7"/>
      <c r="AC114" s="7" t="e">
        <f>Tabelle1311[[#This Row],[SD 1]]/Tabelle1311[[#This Row],[Mean Visc. 1 '[mPas']]]</f>
        <v>#DIV/0!</v>
      </c>
      <c r="AD114" s="7" t="e">
        <f>[1]!Tabelle1327[[#This Row],[SD 2]]/[1]!Tabelle1327[[#This Row],[Mean Visc. 2 '[mPas']2]]</f>
        <v>#DIV/0!</v>
      </c>
      <c r="AE114" s="7" t="e">
        <f>[1]!Tabelle1327[[#This Row],[SD 3]]/[1]!Tabelle1327[[#This Row],[Mean Visc. 3 '[mPas']3]]</f>
        <v>#DIV/0!</v>
      </c>
    </row>
    <row r="115" spans="1:31" x14ac:dyDescent="0.3">
      <c r="A115">
        <v>114</v>
      </c>
      <c r="B115" s="4"/>
      <c r="C115" s="5"/>
      <c r="D115" s="7">
        <v>12</v>
      </c>
      <c r="E115" t="s">
        <v>171</v>
      </c>
      <c r="F115" t="s">
        <v>199</v>
      </c>
      <c r="G115" s="23"/>
      <c r="H115" s="11" t="s">
        <v>198</v>
      </c>
      <c r="I115" s="9" t="s">
        <v>12</v>
      </c>
      <c r="J115" s="7">
        <v>22.5</v>
      </c>
      <c r="K115" s="7">
        <v>26</v>
      </c>
      <c r="L115" s="7">
        <v>29.74</v>
      </c>
      <c r="M115" s="7">
        <v>372</v>
      </c>
      <c r="N115" s="7" t="e">
        <f>[1]!Tabelle1321011121516[[#This Row],[Anzahl Frames]]/[1]!Tabelle1321011121516[[#This Row],[Aufnahmezeit '[s']]]</f>
        <v>#DIV/0!</v>
      </c>
      <c r="O115" s="6" t="e">
        <f>1/[1]!Tabelle1321011121516[[#This Row],[Mean fps ]]</f>
        <v>#DIV/0!</v>
      </c>
      <c r="P115" s="7">
        <v>40</v>
      </c>
      <c r="Q115" s="3"/>
      <c r="R115" s="11"/>
      <c r="S115" s="7">
        <v>1.3480000000000001</v>
      </c>
      <c r="T115" s="7">
        <v>1.079</v>
      </c>
      <c r="U115" s="7">
        <v>1.655</v>
      </c>
      <c r="V115" s="7"/>
      <c r="W115" s="7"/>
      <c r="X115" s="7"/>
      <c r="Y115" s="7"/>
      <c r="Z115" s="7"/>
      <c r="AA115" s="7"/>
      <c r="AB115" s="7"/>
      <c r="AC115" s="7" t="e">
        <f>Tabelle1311[[#This Row],[SD 1]]/Tabelle1311[[#This Row],[Mean Visc. 1 '[mPas']]]</f>
        <v>#DIV/0!</v>
      </c>
      <c r="AD115" s="7" t="e">
        <f>[1]!Tabelle1327[[#This Row],[SD 2]]/[1]!Tabelle1327[[#This Row],[Mean Visc. 2 '[mPas']2]]</f>
        <v>#DIV/0!</v>
      </c>
      <c r="AE115" s="7" t="e">
        <f>[1]!Tabelle1327[[#This Row],[SD 3]]/[1]!Tabelle1327[[#This Row],[Mean Visc. 3 '[mPas']3]]</f>
        <v>#DIV/0!</v>
      </c>
    </row>
    <row r="116" spans="1:31" ht="15" thickBot="1" x14ac:dyDescent="0.35">
      <c r="A116">
        <v>115</v>
      </c>
      <c r="B116" s="15"/>
      <c r="C116" s="16"/>
      <c r="D116" s="7">
        <v>12</v>
      </c>
      <c r="E116" t="s">
        <v>171</v>
      </c>
      <c r="F116" t="s">
        <v>199</v>
      </c>
      <c r="G116" s="24"/>
      <c r="H116" s="21" t="s">
        <v>198</v>
      </c>
      <c r="I116" s="9" t="s">
        <v>12</v>
      </c>
      <c r="J116" s="17">
        <v>22.6</v>
      </c>
      <c r="K116" s="17">
        <v>26</v>
      </c>
      <c r="L116" s="17">
        <v>31.68</v>
      </c>
      <c r="M116" s="17">
        <v>396</v>
      </c>
      <c r="N116" s="17" t="e">
        <f>[1]!Tabelle1321011121516[[#This Row],[Anzahl Frames]]/[1]!Tabelle1321011121516[[#This Row],[Aufnahmezeit '[s']]]</f>
        <v>#DIV/0!</v>
      </c>
      <c r="O116" s="25" t="e">
        <f>1/[1]!Tabelle1321011121516[[#This Row],[Mean fps ]]</f>
        <v>#DIV/0!</v>
      </c>
      <c r="P116" s="17">
        <v>40</v>
      </c>
      <c r="Q116" s="20"/>
      <c r="R116" s="21"/>
      <c r="S116" s="17">
        <v>1.2529999999999999</v>
      </c>
      <c r="T116" s="17">
        <v>1.1200000000000001</v>
      </c>
      <c r="U116" s="17">
        <v>1.4159999999999999</v>
      </c>
      <c r="V116" s="17"/>
      <c r="W116" s="17"/>
      <c r="X116" s="17"/>
      <c r="Y116" s="17"/>
      <c r="Z116" s="17"/>
      <c r="AA116" s="17"/>
      <c r="AB116" s="17"/>
      <c r="AC116" s="17" t="e">
        <f>Tabelle1311[[#This Row],[SD 1]]/Tabelle1311[[#This Row],[Mean Visc. 1 '[mPas']]]</f>
        <v>#DIV/0!</v>
      </c>
      <c r="AD116" s="17" t="e">
        <f>[1]!Tabelle1327[[#This Row],[SD 2]]/[1]!Tabelle1327[[#This Row],[Mean Visc. 2 '[mPas']2]]</f>
        <v>#DIV/0!</v>
      </c>
      <c r="AE116" s="17" t="e">
        <f>[1]!Tabelle1327[[#This Row],[SD 3]]/[1]!Tabelle1327[[#This Row],[Mean Visc. 3 '[mPas']3]]</f>
        <v>#DIV/0!</v>
      </c>
    </row>
    <row r="117" spans="1:31" ht="15" thickTop="1" x14ac:dyDescent="0.3">
      <c r="A117">
        <v>116</v>
      </c>
      <c r="B117" s="4"/>
      <c r="C117" s="5"/>
      <c r="D117" s="7">
        <v>12</v>
      </c>
      <c r="E117" t="s">
        <v>171</v>
      </c>
      <c r="F117" t="s">
        <v>199</v>
      </c>
      <c r="G117" s="23"/>
      <c r="H117" s="11" t="s">
        <v>198</v>
      </c>
      <c r="I117" s="9" t="s">
        <v>12</v>
      </c>
      <c r="J117" s="7">
        <v>22.6</v>
      </c>
      <c r="K117" s="7">
        <v>26</v>
      </c>
      <c r="L117" s="7">
        <v>31.76</v>
      </c>
      <c r="M117" s="7">
        <v>397</v>
      </c>
      <c r="N117" s="7" t="e">
        <f>[1]!Tabelle1321011121516[[#This Row],[Anzahl Frames]]/[1]!Tabelle1321011121516[[#This Row],[Aufnahmezeit '[s']]]</f>
        <v>#DIV/0!</v>
      </c>
      <c r="O117" s="6" t="e">
        <f>1/[1]!Tabelle1321011121516[[#This Row],[Mean fps ]]</f>
        <v>#DIV/0!</v>
      </c>
      <c r="P117" s="7">
        <v>40</v>
      </c>
      <c r="Q117" s="3"/>
      <c r="R117" s="11"/>
      <c r="S117" s="7">
        <v>1.302</v>
      </c>
      <c r="T117" s="7">
        <v>1.0489999999999999</v>
      </c>
      <c r="U117" s="7">
        <v>1.444</v>
      </c>
      <c r="V117" s="7"/>
      <c r="W117" s="7"/>
      <c r="X117" s="7"/>
      <c r="Y117" s="7"/>
      <c r="Z117" s="7"/>
      <c r="AA117" s="7"/>
      <c r="AB117" s="7"/>
      <c r="AC117" s="7" t="e">
        <f>Tabelle1311[[#This Row],[SD 1]]/Tabelle1311[[#This Row],[Mean Visc. 1 '[mPas']]]</f>
        <v>#DIV/0!</v>
      </c>
      <c r="AD117" s="7" t="e">
        <f>[1]!Tabelle1327[[#This Row],[SD 2]]/[1]!Tabelle1327[[#This Row],[Mean Visc. 2 '[mPas']2]]</f>
        <v>#DIV/0!</v>
      </c>
      <c r="AE117" s="7" t="e">
        <f>[1]!Tabelle1327[[#This Row],[SD 3]]/[1]!Tabelle1327[[#This Row],[Mean Visc. 3 '[mPas']3]]</f>
        <v>#DIV/0!</v>
      </c>
    </row>
    <row r="118" spans="1:31" x14ac:dyDescent="0.3">
      <c r="A118">
        <v>117</v>
      </c>
      <c r="B118" s="4"/>
      <c r="C118" s="5"/>
      <c r="D118" s="7">
        <v>12</v>
      </c>
      <c r="E118" t="s">
        <v>171</v>
      </c>
      <c r="F118" t="s">
        <v>199</v>
      </c>
      <c r="G118" s="23"/>
      <c r="H118" s="11" t="s">
        <v>198</v>
      </c>
      <c r="I118" s="9" t="s">
        <v>12</v>
      </c>
      <c r="J118" s="7">
        <v>22.6</v>
      </c>
      <c r="K118" s="7">
        <v>26</v>
      </c>
      <c r="L118" s="7">
        <v>31.04</v>
      </c>
      <c r="M118" s="7">
        <v>388</v>
      </c>
      <c r="N118" s="7" t="e">
        <f>[1]!Tabelle1321011121516[[#This Row],[Anzahl Frames]]/[1]!Tabelle1321011121516[[#This Row],[Aufnahmezeit '[s']]]</f>
        <v>#DIV/0!</v>
      </c>
      <c r="O118" s="6" t="e">
        <f>1/[1]!Tabelle1321011121516[[#This Row],[Mean fps ]]</f>
        <v>#DIV/0!</v>
      </c>
      <c r="P118" s="7">
        <v>40</v>
      </c>
      <c r="Q118" s="3"/>
      <c r="R118" s="11"/>
      <c r="S118" s="7">
        <v>1.214</v>
      </c>
      <c r="T118" s="7">
        <v>1.028</v>
      </c>
      <c r="U118" s="7">
        <v>1.68</v>
      </c>
      <c r="V118" s="7"/>
      <c r="W118" s="7"/>
      <c r="X118" s="7"/>
      <c r="Y118" s="7"/>
      <c r="Z118" s="7"/>
      <c r="AA118" s="7"/>
      <c r="AB118" s="7"/>
      <c r="AC118" s="7" t="e">
        <f>Tabelle1311[[#This Row],[SD 1]]/Tabelle1311[[#This Row],[Mean Visc. 1 '[mPas']]]</f>
        <v>#DIV/0!</v>
      </c>
      <c r="AD118" s="7" t="e">
        <f>[1]!Tabelle1327[[#This Row],[SD 2]]/[1]!Tabelle1327[[#This Row],[Mean Visc. 2 '[mPas']2]]</f>
        <v>#DIV/0!</v>
      </c>
      <c r="AE118" s="7" t="e">
        <f>[1]!Tabelle1327[[#This Row],[SD 3]]/[1]!Tabelle1327[[#This Row],[Mean Visc. 3 '[mPas']3]]</f>
        <v>#DIV/0!</v>
      </c>
    </row>
    <row r="119" spans="1:31" x14ac:dyDescent="0.3">
      <c r="A119">
        <v>118</v>
      </c>
      <c r="B119" s="4"/>
      <c r="C119" s="5"/>
      <c r="D119" s="7">
        <v>12</v>
      </c>
      <c r="E119" t="s">
        <v>171</v>
      </c>
      <c r="F119" t="s">
        <v>199</v>
      </c>
      <c r="G119" s="23"/>
      <c r="H119" s="11" t="s">
        <v>198</v>
      </c>
      <c r="I119" s="9" t="s">
        <v>12</v>
      </c>
      <c r="J119" s="7">
        <v>22.7</v>
      </c>
      <c r="K119" s="7">
        <v>26</v>
      </c>
      <c r="L119" s="7">
        <v>30.56</v>
      </c>
      <c r="M119" s="7">
        <v>383</v>
      </c>
      <c r="N119" s="7" t="e">
        <f>[1]!Tabelle1321011121516[[#This Row],[Anzahl Frames]]/[1]!Tabelle1321011121516[[#This Row],[Aufnahmezeit '[s']]]</f>
        <v>#DIV/0!</v>
      </c>
      <c r="O119" s="6" t="e">
        <f>1/[1]!Tabelle1321011121516[[#This Row],[Mean fps ]]</f>
        <v>#DIV/0!</v>
      </c>
      <c r="P119" s="7">
        <v>40</v>
      </c>
      <c r="Q119" s="3"/>
      <c r="R119" s="11"/>
      <c r="S119" s="7">
        <v>1.214</v>
      </c>
      <c r="T119" s="7">
        <v>0.97199999999999998</v>
      </c>
      <c r="U119" s="7">
        <v>1.504</v>
      </c>
      <c r="V119" s="7"/>
      <c r="W119" s="7"/>
      <c r="X119" s="7"/>
      <c r="Y119" s="7"/>
      <c r="Z119" s="7"/>
      <c r="AA119" s="7"/>
      <c r="AB119" s="7"/>
      <c r="AC119" s="7" t="e">
        <f>Tabelle1311[[#This Row],[SD 1]]/Tabelle1311[[#This Row],[Mean Visc. 1 '[mPas']]]</f>
        <v>#DIV/0!</v>
      </c>
      <c r="AD119" s="7" t="e">
        <f>[1]!Tabelle1327[[#This Row],[SD 2]]/[1]!Tabelle1327[[#This Row],[Mean Visc. 2 '[mPas']2]]</f>
        <v>#DIV/0!</v>
      </c>
      <c r="AE119" s="7" t="e">
        <f>[1]!Tabelle1327[[#This Row],[SD 3]]/[1]!Tabelle1327[[#This Row],[Mean Visc. 3 '[mPas']3]]</f>
        <v>#DIV/0!</v>
      </c>
    </row>
    <row r="120" spans="1:31" x14ac:dyDescent="0.3">
      <c r="A120">
        <v>119</v>
      </c>
      <c r="B120" s="4"/>
      <c r="C120" s="5"/>
      <c r="D120" s="7">
        <v>12</v>
      </c>
      <c r="E120" t="s">
        <v>171</v>
      </c>
      <c r="F120" t="s">
        <v>199</v>
      </c>
      <c r="G120" s="23"/>
      <c r="H120" s="11" t="s">
        <v>198</v>
      </c>
      <c r="I120" s="9" t="s">
        <v>12</v>
      </c>
      <c r="J120" s="7">
        <v>22.7</v>
      </c>
      <c r="K120" s="7">
        <v>26</v>
      </c>
      <c r="L120" s="7">
        <v>31.35</v>
      </c>
      <c r="M120" s="7">
        <v>392</v>
      </c>
      <c r="N120" s="7" t="e">
        <f>[1]!Tabelle1321011121516[[#This Row],[Anzahl Frames]]/[1]!Tabelle1321011121516[[#This Row],[Aufnahmezeit '[s']]]</f>
        <v>#DIV/0!</v>
      </c>
      <c r="O120" s="6" t="e">
        <f>1/[1]!Tabelle1321011121516[[#This Row],[Mean fps ]]</f>
        <v>#DIV/0!</v>
      </c>
      <c r="P120" s="7">
        <v>40</v>
      </c>
      <c r="Q120" s="3"/>
      <c r="R120" s="11"/>
      <c r="S120" s="7">
        <v>1.254</v>
      </c>
      <c r="T120" s="7">
        <v>1.0189999999999999</v>
      </c>
      <c r="U120" s="7">
        <v>1.482</v>
      </c>
      <c r="V120" s="7"/>
      <c r="W120" s="7"/>
      <c r="X120" s="7"/>
      <c r="Y120" s="7"/>
      <c r="Z120" s="7"/>
      <c r="AA120" s="7"/>
      <c r="AB120" s="7"/>
      <c r="AC120" s="7" t="e">
        <f>Tabelle1311[[#This Row],[SD 1]]/Tabelle1311[[#This Row],[Mean Visc. 1 '[mPas']]]</f>
        <v>#DIV/0!</v>
      </c>
      <c r="AD120" s="7" t="e">
        <f>[1]!Tabelle1327[[#This Row],[SD 2]]/[1]!Tabelle1327[[#This Row],[Mean Visc. 2 '[mPas']2]]</f>
        <v>#DIV/0!</v>
      </c>
      <c r="AE120" s="7" t="e">
        <f>[1]!Tabelle1327[[#This Row],[SD 3]]/[1]!Tabelle1327[[#This Row],[Mean Visc. 3 '[mPas']3]]</f>
        <v>#DIV/0!</v>
      </c>
    </row>
    <row r="121" spans="1:31" x14ac:dyDescent="0.3">
      <c r="A121">
        <v>120</v>
      </c>
      <c r="B121" s="4"/>
      <c r="C121" s="5"/>
      <c r="D121" s="7">
        <v>12</v>
      </c>
      <c r="E121" t="s">
        <v>171</v>
      </c>
      <c r="F121" t="s">
        <v>199</v>
      </c>
      <c r="G121" s="23"/>
      <c r="H121" s="11" t="s">
        <v>198</v>
      </c>
      <c r="I121" s="9" t="s">
        <v>12</v>
      </c>
      <c r="J121" s="7">
        <v>22.8</v>
      </c>
      <c r="K121" s="7">
        <v>26</v>
      </c>
      <c r="L121" s="7">
        <v>30.4</v>
      </c>
      <c r="M121" s="7">
        <v>381</v>
      </c>
      <c r="N121" s="7" t="e">
        <f>[1]!Tabelle1321011121516[[#This Row],[Anzahl Frames]]/[1]!Tabelle1321011121516[[#This Row],[Aufnahmezeit '[s']]]</f>
        <v>#DIV/0!</v>
      </c>
      <c r="O121" s="6" t="e">
        <f>1/[1]!Tabelle1321011121516[[#This Row],[Mean fps ]]</f>
        <v>#DIV/0!</v>
      </c>
      <c r="P121" s="7">
        <v>40</v>
      </c>
      <c r="Q121" s="3"/>
      <c r="R121" s="11"/>
      <c r="S121" s="7">
        <v>1.2210000000000001</v>
      </c>
      <c r="T121" s="7">
        <v>1.0580000000000001</v>
      </c>
      <c r="U121" s="7">
        <v>1.639</v>
      </c>
      <c r="V121" s="7"/>
      <c r="W121" s="7">
        <f>SUM(S112:S121)/10</f>
        <v>1.2459000000000002</v>
      </c>
      <c r="X121" s="7">
        <f t="shared" ref="X121:Y121" si="11">SUM(T112:T121)/10</f>
        <v>1.0394999999999999</v>
      </c>
      <c r="Y121" s="7">
        <f t="shared" si="11"/>
        <v>1.5616999999999999</v>
      </c>
      <c r="Z121" s="7">
        <f>_xlfn.STDEV.S(S112:S121)</f>
        <v>4.6460138231008814E-2</v>
      </c>
      <c r="AA121" s="7">
        <f>_xlfn.STDEV.S(T112:T121)</f>
        <v>5.0295239447795792E-2</v>
      </c>
      <c r="AB121" s="7">
        <f>_xlfn.STDEV.S(U112:U121)</f>
        <v>9.3115280999176278E-2</v>
      </c>
      <c r="AC121" s="7">
        <f>Tabelle1311[[#This Row],[SD 1]]/Tabelle1311[[#This Row],[Mean Visc. 1 '[mPas']]]</f>
        <v>3.7290423172813877E-2</v>
      </c>
      <c r="AD121" s="7" t="e">
        <f>[1]!Tabelle1328[[#This Row],[SD 2]]/[1]!Tabelle1328[[#This Row],[Mean Visc. 2 '[mPas']2]]</f>
        <v>#DIV/0!</v>
      </c>
      <c r="AE121" s="7" t="e">
        <f>[1]!Tabelle1328[[#This Row],[SD 3]]/[1]!Tabelle1328[[#This Row],[Mean Visc. 3 '[mPas']3]]</f>
        <v>#DIV/0!</v>
      </c>
    </row>
    <row r="122" spans="1:31" x14ac:dyDescent="0.3">
      <c r="A122">
        <v>121</v>
      </c>
      <c r="B122" s="4"/>
      <c r="C122" s="5"/>
      <c r="D122" s="7">
        <v>13</v>
      </c>
      <c r="E122" t="s">
        <v>174</v>
      </c>
      <c r="F122" t="s">
        <v>197</v>
      </c>
      <c r="G122" s="23"/>
      <c r="H122" s="11" t="s">
        <v>198</v>
      </c>
      <c r="I122" s="9" t="s">
        <v>12</v>
      </c>
      <c r="J122" s="7">
        <v>24.1</v>
      </c>
      <c r="K122" s="7">
        <v>23</v>
      </c>
      <c r="L122" s="7">
        <v>30.87</v>
      </c>
      <c r="M122" s="7">
        <v>386</v>
      </c>
      <c r="N122" s="7" t="e">
        <f>[1]!Tabelle1321011121516[[#This Row],[Anzahl Frames]]/[1]!Tabelle1321011121516[[#This Row],[Aufnahmezeit '[s']]]</f>
        <v>#VALUE!</v>
      </c>
      <c r="O122" s="6" t="e">
        <f>1/[1]!Tabelle1321011121516[[#This Row],[Mean fps ]]</f>
        <v>#VALUE!</v>
      </c>
      <c r="P122" s="7">
        <v>40</v>
      </c>
      <c r="Q122" s="3"/>
      <c r="R122" s="11"/>
      <c r="S122" s="7">
        <v>1.3979999999999999</v>
      </c>
      <c r="T122" s="7">
        <v>1.0840000000000001</v>
      </c>
      <c r="U122" s="7">
        <v>1.84</v>
      </c>
      <c r="V122" s="7"/>
      <c r="W122" s="7"/>
      <c r="X122" s="7"/>
      <c r="Y122" s="7"/>
      <c r="Z122" s="7"/>
      <c r="AA122" s="7"/>
      <c r="AB122" s="7"/>
      <c r="AC122" s="7" t="e">
        <f>Tabelle1311[[#This Row],[SD 1]]/Tabelle1311[[#This Row],[Mean Visc. 1 '[mPas']]]</f>
        <v>#DIV/0!</v>
      </c>
      <c r="AD122" s="7" t="e">
        <f>[1]!Tabelle1326[[#This Row],[SD 2]]/[1]!Tabelle1326[[#This Row],[Mean Visc. 2 '[mPas']2]]</f>
        <v>#VALUE!</v>
      </c>
      <c r="AE122" s="7" t="e">
        <f>[1]!Tabelle1326[[#This Row],[SD 3]]/[1]!Tabelle1326[[#This Row],[Mean Visc. 3 '[mPas']3]]</f>
        <v>#VALUE!</v>
      </c>
    </row>
    <row r="123" spans="1:31" x14ac:dyDescent="0.3">
      <c r="A123">
        <v>122</v>
      </c>
      <c r="B123" s="4"/>
      <c r="C123" s="5"/>
      <c r="D123" s="7">
        <v>13</v>
      </c>
      <c r="E123" t="s">
        <v>174</v>
      </c>
      <c r="F123" t="s">
        <v>197</v>
      </c>
      <c r="G123" s="23"/>
      <c r="H123" s="11" t="s">
        <v>198</v>
      </c>
      <c r="I123" s="9" t="s">
        <v>12</v>
      </c>
      <c r="J123" s="7">
        <v>24.2</v>
      </c>
      <c r="K123" s="7">
        <v>23</v>
      </c>
      <c r="L123" s="7">
        <v>32.1</v>
      </c>
      <c r="M123" s="7">
        <v>401</v>
      </c>
      <c r="N123" s="7" t="e">
        <f>[1]!Tabelle1321011121516[[#This Row],[Anzahl Frames]]/[1]!Tabelle1321011121516[[#This Row],[Aufnahmezeit '[s']]]</f>
        <v>#VALUE!</v>
      </c>
      <c r="O123" s="6" t="e">
        <f>1/[1]!Tabelle1321011121516[[#This Row],[Mean fps ]]</f>
        <v>#VALUE!</v>
      </c>
      <c r="P123" s="7">
        <v>40</v>
      </c>
      <c r="Q123" s="3"/>
      <c r="R123" s="11"/>
      <c r="S123" s="7">
        <v>1.321</v>
      </c>
      <c r="T123" s="7">
        <v>1.163</v>
      </c>
      <c r="U123" s="7">
        <v>1.76</v>
      </c>
      <c r="V123" s="7"/>
      <c r="W123" s="7"/>
      <c r="X123" s="7"/>
      <c r="Y123" s="7"/>
      <c r="Z123" s="7"/>
      <c r="AA123" s="7"/>
      <c r="AB123" s="7"/>
      <c r="AC123" s="7" t="e">
        <f>Tabelle1311[[#This Row],[SD 1]]/Tabelle1311[[#This Row],[Mean Visc. 1 '[mPas']]]</f>
        <v>#DIV/0!</v>
      </c>
      <c r="AD123" s="7" t="e">
        <f>[1]!Tabelle1326[[#This Row],[SD 2]]/[1]!Tabelle1326[[#This Row],[Mean Visc. 2 '[mPas']2]]</f>
        <v>#VALUE!</v>
      </c>
      <c r="AE123" s="7" t="e">
        <f>[1]!Tabelle1326[[#This Row],[SD 3]]/[1]!Tabelle1326[[#This Row],[Mean Visc. 3 '[mPas']3]]</f>
        <v>#VALUE!</v>
      </c>
    </row>
    <row r="124" spans="1:31" x14ac:dyDescent="0.3">
      <c r="A124">
        <v>123</v>
      </c>
      <c r="B124" s="4"/>
      <c r="C124" s="5"/>
      <c r="D124" s="7">
        <v>13</v>
      </c>
      <c r="E124" t="s">
        <v>174</v>
      </c>
      <c r="F124" t="s">
        <v>197</v>
      </c>
      <c r="G124" s="23"/>
      <c r="H124" s="11" t="s">
        <v>198</v>
      </c>
      <c r="I124" s="9" t="s">
        <v>12</v>
      </c>
      <c r="J124" s="7">
        <v>24.3</v>
      </c>
      <c r="K124" s="7">
        <v>23</v>
      </c>
      <c r="L124" s="7">
        <v>30.02</v>
      </c>
      <c r="M124" s="7">
        <v>375</v>
      </c>
      <c r="N124" s="7" t="e">
        <f>[1]!Tabelle1321011121516[[#This Row],[Anzahl Frames]]/[1]!Tabelle1321011121516[[#This Row],[Aufnahmezeit '[s']]]</f>
        <v>#VALUE!</v>
      </c>
      <c r="O124" s="6" t="e">
        <f>1/[1]!Tabelle1321011121516[[#This Row],[Mean fps ]]</f>
        <v>#VALUE!</v>
      </c>
      <c r="P124" s="7">
        <v>40</v>
      </c>
      <c r="Q124" s="3"/>
      <c r="R124" s="11"/>
      <c r="S124" s="7">
        <v>1.399</v>
      </c>
      <c r="T124" s="7">
        <v>1.216</v>
      </c>
      <c r="U124" s="7">
        <v>1.97</v>
      </c>
      <c r="V124" s="7"/>
      <c r="W124" s="7"/>
      <c r="X124" s="7"/>
      <c r="Y124" s="7"/>
      <c r="Z124" s="7"/>
      <c r="AA124" s="7"/>
      <c r="AB124" s="7"/>
      <c r="AC124" s="7" t="e">
        <f>Tabelle1311[[#This Row],[SD 1]]/Tabelle1311[[#This Row],[Mean Visc. 1 '[mPas']]]</f>
        <v>#DIV/0!</v>
      </c>
      <c r="AD124" s="7" t="e">
        <f>[1]!Tabelle1326[[#This Row],[SD 2]]/[1]!Tabelle1326[[#This Row],[Mean Visc. 2 '[mPas']2]]</f>
        <v>#VALUE!</v>
      </c>
      <c r="AE124" s="7" t="e">
        <f>[1]!Tabelle1326[[#This Row],[SD 3]]/[1]!Tabelle1326[[#This Row],[Mean Visc. 3 '[mPas']3]]</f>
        <v>#VALUE!</v>
      </c>
    </row>
    <row r="125" spans="1:31" x14ac:dyDescent="0.3">
      <c r="A125">
        <v>124</v>
      </c>
      <c r="B125" s="4"/>
      <c r="C125" s="5"/>
      <c r="D125" s="7">
        <v>13</v>
      </c>
      <c r="E125" t="s">
        <v>174</v>
      </c>
      <c r="F125" t="s">
        <v>197</v>
      </c>
      <c r="G125" s="23"/>
      <c r="H125" s="11" t="s">
        <v>198</v>
      </c>
      <c r="I125" s="9" t="s">
        <v>12</v>
      </c>
      <c r="J125" s="7">
        <v>24.3</v>
      </c>
      <c r="K125" s="7">
        <v>23</v>
      </c>
      <c r="L125" s="7">
        <v>31.04</v>
      </c>
      <c r="M125" s="7">
        <v>388</v>
      </c>
      <c r="N125" s="7" t="e">
        <f>[1]!Tabelle1321011121516[[#This Row],[Anzahl Frames]]/[1]!Tabelle1321011121516[[#This Row],[Aufnahmezeit '[s']]]</f>
        <v>#VALUE!</v>
      </c>
      <c r="O125" s="6" t="e">
        <f>1/[1]!Tabelle1321011121516[[#This Row],[Mean fps ]]</f>
        <v>#VALUE!</v>
      </c>
      <c r="P125" s="7">
        <v>40</v>
      </c>
      <c r="Q125" s="3"/>
      <c r="R125" s="11"/>
      <c r="S125" s="7">
        <v>1.42</v>
      </c>
      <c r="T125" s="7">
        <v>1.298</v>
      </c>
      <c r="U125" s="7">
        <v>1.9710000000000001</v>
      </c>
      <c r="V125" s="7"/>
      <c r="W125" s="7"/>
      <c r="X125" s="7"/>
      <c r="Y125" s="7"/>
      <c r="Z125" s="7"/>
      <c r="AA125" s="7"/>
      <c r="AB125" s="7"/>
      <c r="AC125" s="7" t="e">
        <f>Tabelle1311[[#This Row],[SD 1]]/Tabelle1311[[#This Row],[Mean Visc. 1 '[mPas']]]</f>
        <v>#DIV/0!</v>
      </c>
      <c r="AD125" s="7" t="e">
        <f>[1]!Tabelle1326[[#This Row],[SD 2]]/[1]!Tabelle1326[[#This Row],[Mean Visc. 2 '[mPas']2]]</f>
        <v>#VALUE!</v>
      </c>
      <c r="AE125" s="7" t="e">
        <f>[1]!Tabelle1326[[#This Row],[SD 3]]/[1]!Tabelle1326[[#This Row],[Mean Visc. 3 '[mPas']3]]</f>
        <v>#VALUE!</v>
      </c>
    </row>
    <row r="126" spans="1:31" ht="15" thickBot="1" x14ac:dyDescent="0.35">
      <c r="A126">
        <v>125</v>
      </c>
      <c r="B126" s="15"/>
      <c r="C126" s="16"/>
      <c r="D126" s="7">
        <v>13</v>
      </c>
      <c r="E126" t="s">
        <v>174</v>
      </c>
      <c r="F126" t="s">
        <v>197</v>
      </c>
      <c r="G126" s="24"/>
      <c r="H126" s="21" t="s">
        <v>198</v>
      </c>
      <c r="I126" s="9" t="s">
        <v>12</v>
      </c>
      <c r="J126" s="17">
        <v>24.4</v>
      </c>
      <c r="K126" s="17">
        <v>23</v>
      </c>
      <c r="L126" s="17">
        <v>30.3</v>
      </c>
      <c r="M126" s="17">
        <v>379</v>
      </c>
      <c r="N126" s="17" t="e">
        <f>[1]!Tabelle1321011121516[[#This Row],[Anzahl Frames]]/[1]!Tabelle1321011121516[[#This Row],[Aufnahmezeit '[s']]]</f>
        <v>#VALUE!</v>
      </c>
      <c r="O126" s="25" t="e">
        <f>1/[1]!Tabelle1321011121516[[#This Row],[Mean fps ]]</f>
        <v>#VALUE!</v>
      </c>
      <c r="P126" s="17">
        <v>40</v>
      </c>
      <c r="Q126" s="20"/>
      <c r="R126" s="21"/>
      <c r="S126" s="17">
        <v>1.4930000000000001</v>
      </c>
      <c r="T126" s="17">
        <v>1.3</v>
      </c>
      <c r="U126" s="17">
        <v>1.821</v>
      </c>
      <c r="V126" s="17"/>
      <c r="W126" s="17"/>
      <c r="X126" s="17"/>
      <c r="Y126" s="17"/>
      <c r="Z126" s="17"/>
      <c r="AA126" s="17"/>
      <c r="AB126" s="17"/>
      <c r="AC126" s="17" t="e">
        <f>Tabelle1311[[#This Row],[SD 1]]/Tabelle1311[[#This Row],[Mean Visc. 1 '[mPas']]]</f>
        <v>#DIV/0!</v>
      </c>
      <c r="AD126" s="17" t="e">
        <f>[1]!Tabelle1326[[#This Row],[SD 2]]/[1]!Tabelle1326[[#This Row],[Mean Visc. 2 '[mPas']2]]</f>
        <v>#VALUE!</v>
      </c>
      <c r="AE126" s="17" t="e">
        <f>[1]!Tabelle1326[[#This Row],[SD 3]]/[1]!Tabelle1326[[#This Row],[Mean Visc. 3 '[mPas']3]]</f>
        <v>#VALUE!</v>
      </c>
    </row>
    <row r="127" spans="1:31" ht="15" thickTop="1" x14ac:dyDescent="0.3">
      <c r="A127">
        <v>126</v>
      </c>
      <c r="B127" s="4"/>
      <c r="C127" s="5"/>
      <c r="D127" s="7">
        <v>13</v>
      </c>
      <c r="E127" t="s">
        <v>174</v>
      </c>
      <c r="F127" t="s">
        <v>197</v>
      </c>
      <c r="G127" s="23"/>
      <c r="H127" s="11" t="s">
        <v>198</v>
      </c>
      <c r="I127" s="9" t="s">
        <v>12</v>
      </c>
      <c r="J127" s="7">
        <v>24.4</v>
      </c>
      <c r="K127" s="7">
        <v>23</v>
      </c>
      <c r="L127" s="7">
        <v>30.48</v>
      </c>
      <c r="M127" s="7">
        <v>381</v>
      </c>
      <c r="N127" s="7" t="e">
        <f>[1]!Tabelle1321011121516[[#This Row],[Anzahl Frames]]/[1]!Tabelle1321011121516[[#This Row],[Aufnahmezeit '[s']]]</f>
        <v>#VALUE!</v>
      </c>
      <c r="O127" s="6" t="e">
        <f>1/[1]!Tabelle1321011121516[[#This Row],[Mean fps ]]</f>
        <v>#VALUE!</v>
      </c>
      <c r="P127" s="7">
        <v>40</v>
      </c>
      <c r="Q127" s="3"/>
      <c r="R127" s="11"/>
      <c r="S127" s="7">
        <v>1.2769999999999999</v>
      </c>
      <c r="T127" s="7">
        <v>1.0349999999999999</v>
      </c>
      <c r="U127" s="7">
        <v>1.7889999999999999</v>
      </c>
      <c r="V127" s="7"/>
      <c r="W127" s="7"/>
      <c r="X127" s="7"/>
      <c r="Y127" s="7"/>
      <c r="Z127" s="7"/>
      <c r="AA127" s="7"/>
      <c r="AB127" s="7"/>
      <c r="AC127" s="7" t="e">
        <f>Tabelle1311[[#This Row],[SD 1]]/Tabelle1311[[#This Row],[Mean Visc. 1 '[mPas']]]</f>
        <v>#DIV/0!</v>
      </c>
      <c r="AD127" s="7" t="e">
        <f>[1]!Tabelle1326[[#This Row],[SD 2]]/[1]!Tabelle1326[[#This Row],[Mean Visc. 2 '[mPas']2]]</f>
        <v>#VALUE!</v>
      </c>
      <c r="AE127" s="7" t="e">
        <f>[1]!Tabelle1326[[#This Row],[SD 3]]/[1]!Tabelle1326[[#This Row],[Mean Visc. 3 '[mPas']3]]</f>
        <v>#VALUE!</v>
      </c>
    </row>
    <row r="128" spans="1:31" x14ac:dyDescent="0.3">
      <c r="A128">
        <v>127</v>
      </c>
      <c r="B128" s="4"/>
      <c r="C128" s="5"/>
      <c r="D128" s="7">
        <v>13</v>
      </c>
      <c r="E128" t="s">
        <v>174</v>
      </c>
      <c r="F128" t="s">
        <v>197</v>
      </c>
      <c r="G128" s="23"/>
      <c r="H128" s="11" t="s">
        <v>198</v>
      </c>
      <c r="I128" s="9" t="s">
        <v>12</v>
      </c>
      <c r="J128" s="7">
        <v>24.5</v>
      </c>
      <c r="K128" s="7">
        <v>22</v>
      </c>
      <c r="L128" s="7">
        <v>30.48</v>
      </c>
      <c r="M128" s="7">
        <v>381</v>
      </c>
      <c r="N128" s="7" t="e">
        <f>[1]!Tabelle1321011121516[[#This Row],[Anzahl Frames]]/[1]!Tabelle1321011121516[[#This Row],[Aufnahmezeit '[s']]]</f>
        <v>#VALUE!</v>
      </c>
      <c r="O128" s="6" t="e">
        <f>1/[1]!Tabelle1321011121516[[#This Row],[Mean fps ]]</f>
        <v>#VALUE!</v>
      </c>
      <c r="P128" s="7">
        <v>40</v>
      </c>
      <c r="Q128" s="3"/>
      <c r="R128" s="11"/>
      <c r="S128" s="7">
        <v>1.387</v>
      </c>
      <c r="T128" s="7">
        <v>1.171</v>
      </c>
      <c r="U128" s="7">
        <v>1.9119999999999999</v>
      </c>
      <c r="V128" s="7"/>
      <c r="W128" s="7"/>
      <c r="X128" s="7"/>
      <c r="Y128" s="7"/>
      <c r="Z128" s="7"/>
      <c r="AA128" s="7"/>
      <c r="AB128" s="7"/>
      <c r="AC128" s="7" t="e">
        <f>Tabelle1311[[#This Row],[SD 1]]/Tabelle1311[[#This Row],[Mean Visc. 1 '[mPas']]]</f>
        <v>#DIV/0!</v>
      </c>
      <c r="AD128" s="7" t="e">
        <f>[1]!Tabelle1326[[#This Row],[SD 2]]/[1]!Tabelle1326[[#This Row],[Mean Visc. 2 '[mPas']2]]</f>
        <v>#VALUE!</v>
      </c>
      <c r="AE128" s="7" t="e">
        <f>[1]!Tabelle1326[[#This Row],[SD 3]]/[1]!Tabelle1326[[#This Row],[Mean Visc. 3 '[mPas']3]]</f>
        <v>#VALUE!</v>
      </c>
    </row>
    <row r="129" spans="1:31" x14ac:dyDescent="0.3">
      <c r="A129">
        <v>128</v>
      </c>
      <c r="B129" s="4"/>
      <c r="C129" s="5"/>
      <c r="D129" s="7">
        <v>13</v>
      </c>
      <c r="E129" t="s">
        <v>174</v>
      </c>
      <c r="F129" t="s">
        <v>197</v>
      </c>
      <c r="G129" s="23"/>
      <c r="H129" s="11" t="s">
        <v>198</v>
      </c>
      <c r="I129" s="9" t="s">
        <v>12</v>
      </c>
      <c r="J129" s="7">
        <v>24.5</v>
      </c>
      <c r="K129" s="7">
        <v>22</v>
      </c>
      <c r="L129" s="7">
        <v>30.56</v>
      </c>
      <c r="M129" s="7">
        <v>382</v>
      </c>
      <c r="N129" s="7" t="e">
        <f>[1]!Tabelle1321011121516[[#This Row],[Anzahl Frames]]/[1]!Tabelle1321011121516[[#This Row],[Aufnahmezeit '[s']]]</f>
        <v>#VALUE!</v>
      </c>
      <c r="O129" s="6" t="e">
        <f>1/[1]!Tabelle1321011121516[[#This Row],[Mean fps ]]</f>
        <v>#VALUE!</v>
      </c>
      <c r="P129" s="7">
        <v>40</v>
      </c>
      <c r="Q129" s="3"/>
      <c r="R129" s="11"/>
      <c r="S129" s="7">
        <v>1.26</v>
      </c>
      <c r="T129" s="7">
        <v>1.0720000000000001</v>
      </c>
      <c r="U129" s="7">
        <v>1.641</v>
      </c>
      <c r="V129" s="7"/>
      <c r="W129" s="7"/>
      <c r="X129" s="7"/>
      <c r="Y129" s="7"/>
      <c r="Z129" s="7"/>
      <c r="AA129" s="7"/>
      <c r="AB129" s="7"/>
      <c r="AC129" s="7" t="e">
        <f>Tabelle1311[[#This Row],[SD 1]]/Tabelle1311[[#This Row],[Mean Visc. 1 '[mPas']]]</f>
        <v>#DIV/0!</v>
      </c>
      <c r="AD129" s="7" t="e">
        <f>[1]!Tabelle1326[[#This Row],[SD 2]]/[1]!Tabelle1326[[#This Row],[Mean Visc. 2 '[mPas']2]]</f>
        <v>#VALUE!</v>
      </c>
      <c r="AE129" s="7" t="e">
        <f>[1]!Tabelle1326[[#This Row],[SD 3]]/[1]!Tabelle1326[[#This Row],[Mean Visc. 3 '[mPas']3]]</f>
        <v>#VALUE!</v>
      </c>
    </row>
    <row r="130" spans="1:31" x14ac:dyDescent="0.3">
      <c r="A130">
        <v>129</v>
      </c>
      <c r="B130" s="4"/>
      <c r="C130" s="5"/>
      <c r="D130" s="7">
        <v>13</v>
      </c>
      <c r="E130" t="s">
        <v>174</v>
      </c>
      <c r="F130" t="s">
        <v>197</v>
      </c>
      <c r="G130" s="23"/>
      <c r="H130" s="11" t="s">
        <v>198</v>
      </c>
      <c r="I130" s="9" t="s">
        <v>12</v>
      </c>
      <c r="J130" s="7">
        <v>24.6</v>
      </c>
      <c r="K130" s="7">
        <v>22</v>
      </c>
      <c r="L130" s="7">
        <v>30.64</v>
      </c>
      <c r="M130" s="7">
        <v>383</v>
      </c>
      <c r="N130" s="7" t="e">
        <f>[1]!Tabelle1321011121516[[#This Row],[Anzahl Frames]]/[1]!Tabelle1321011121516[[#This Row],[Aufnahmezeit '[s']]]</f>
        <v>#VALUE!</v>
      </c>
      <c r="O130" s="6" t="e">
        <f>1/[1]!Tabelle1321011121516[[#This Row],[Mean fps ]]</f>
        <v>#VALUE!</v>
      </c>
      <c r="P130" s="7">
        <v>40</v>
      </c>
      <c r="Q130" s="3"/>
      <c r="R130" s="11"/>
      <c r="S130" s="7">
        <v>1.222</v>
      </c>
      <c r="T130" s="7">
        <v>1.1599999999999999</v>
      </c>
      <c r="U130" s="7">
        <v>1.7509999999999999</v>
      </c>
      <c r="V130" s="7"/>
      <c r="W130" s="7"/>
      <c r="X130" s="7"/>
      <c r="Y130" s="7"/>
      <c r="Z130" s="7"/>
      <c r="AA130" s="7"/>
      <c r="AB130" s="7"/>
      <c r="AC130" s="7" t="e">
        <f>Tabelle1311[[#This Row],[SD 1]]/Tabelle1311[[#This Row],[Mean Visc. 1 '[mPas']]]</f>
        <v>#DIV/0!</v>
      </c>
      <c r="AD130" s="7" t="e">
        <f>[1]!Tabelle1326[[#This Row],[SD 2]]/[1]!Tabelle1326[[#This Row],[Mean Visc. 2 '[mPas']2]]</f>
        <v>#VALUE!</v>
      </c>
      <c r="AE130" s="7" t="e">
        <f>[1]!Tabelle1326[[#This Row],[SD 3]]/[1]!Tabelle1326[[#This Row],[Mean Visc. 3 '[mPas']3]]</f>
        <v>#VALUE!</v>
      </c>
    </row>
    <row r="131" spans="1:31" ht="15" thickBot="1" x14ac:dyDescent="0.35">
      <c r="A131">
        <v>130</v>
      </c>
      <c r="B131" s="15"/>
      <c r="C131" s="16"/>
      <c r="D131" s="7">
        <v>13</v>
      </c>
      <c r="E131" t="s">
        <v>174</v>
      </c>
      <c r="F131" t="s">
        <v>197</v>
      </c>
      <c r="G131" s="24"/>
      <c r="H131" s="21" t="s">
        <v>198</v>
      </c>
      <c r="I131" s="9" t="s">
        <v>12</v>
      </c>
      <c r="J131" s="17">
        <v>24.6</v>
      </c>
      <c r="K131" s="17">
        <v>22</v>
      </c>
      <c r="L131" s="17">
        <v>30.82</v>
      </c>
      <c r="M131" s="17">
        <v>385</v>
      </c>
      <c r="N131" s="17" t="e">
        <f>[1]!Tabelle1321011121516[[#This Row],[Anzahl Frames]]/[1]!Tabelle1321011121516[[#This Row],[Aufnahmezeit '[s']]]</f>
        <v>#VALUE!</v>
      </c>
      <c r="O131" s="25" t="e">
        <f>1/[1]!Tabelle1321011121516[[#This Row],[Mean fps ]]</f>
        <v>#VALUE!</v>
      </c>
      <c r="P131" s="17">
        <v>40</v>
      </c>
      <c r="Q131" s="20"/>
      <c r="R131" s="21"/>
      <c r="S131" s="17">
        <v>1.2</v>
      </c>
      <c r="T131" s="17">
        <v>0.92300000000000004</v>
      </c>
      <c r="U131" s="17">
        <v>1.6259999999999999</v>
      </c>
      <c r="V131" s="17"/>
      <c r="W131" s="7">
        <f>SUM(S122:S131)/10</f>
        <v>1.3376999999999999</v>
      </c>
      <c r="X131" s="7">
        <f t="shared" ref="X131:Y131" si="12">SUM(T122:T131)/10</f>
        <v>1.1421999999999999</v>
      </c>
      <c r="Y131" s="7">
        <f t="shared" si="12"/>
        <v>1.8081</v>
      </c>
      <c r="Z131" s="17">
        <f>_xlfn.STDEV.S(S122:S131)</f>
        <v>9.6069477173785264E-2</v>
      </c>
      <c r="AA131" s="17">
        <f>_xlfn.STDEV.S(T122:T131)</f>
        <v>0.11740509169348473</v>
      </c>
      <c r="AB131" s="17">
        <f>_xlfn.STDEV.S(U122:U131)</f>
        <v>0.12099077099790162</v>
      </c>
      <c r="AC131" s="17">
        <f>Tabelle1311[[#This Row],[SD 1]]/Tabelle1311[[#This Row],[Mean Visc. 1 '[mPas']]]</f>
        <v>7.1816907508249442E-2</v>
      </c>
      <c r="AD131" s="17" t="e">
        <f>[1]!Tabelle13210[[#This Row],[SD 2]]/[1]!Tabelle13210[[#This Row],[Mean Visc. 2 '[mPas']2]]</f>
        <v>#VALUE!</v>
      </c>
      <c r="AE131" s="17" t="e">
        <f>[1]!Tabelle13210[[#This Row],[SD 3]]/[1]!Tabelle13210[[#This Row],[Mean Visc. 3 '[mPas']3]]</f>
        <v>#VALUE!</v>
      </c>
    </row>
    <row r="132" spans="1:31" ht="15" thickTop="1" x14ac:dyDescent="0.3">
      <c r="A132">
        <v>131</v>
      </c>
      <c r="B132" s="4"/>
      <c r="C132" s="5"/>
      <c r="D132" s="7">
        <v>14</v>
      </c>
      <c r="E132" t="s">
        <v>174</v>
      </c>
      <c r="F132" t="s">
        <v>199</v>
      </c>
      <c r="G132" s="23"/>
      <c r="H132" s="11" t="s">
        <v>198</v>
      </c>
      <c r="I132" s="9" t="s">
        <v>12</v>
      </c>
      <c r="J132" s="7">
        <v>22.6</v>
      </c>
      <c r="K132" s="7">
        <v>28</v>
      </c>
      <c r="L132" s="7">
        <v>29.78</v>
      </c>
      <c r="M132" s="7">
        <v>376</v>
      </c>
      <c r="N132" s="7" t="e">
        <f>[1]!Tabelle1321011121516[[#This Row],[Anzahl Frames]]/[1]!Tabelle1321011121516[[#This Row],[Aufnahmezeit '[s']]]</f>
        <v>#VALUE!</v>
      </c>
      <c r="O132" s="6" t="e">
        <f>1/[1]!Tabelle1321011121516[[#This Row],[Mean fps ]]</f>
        <v>#VALUE!</v>
      </c>
      <c r="P132" s="7">
        <v>40</v>
      </c>
      <c r="Q132" s="3"/>
      <c r="R132" s="11"/>
      <c r="S132" s="7">
        <v>1.5</v>
      </c>
      <c r="T132" s="7">
        <v>1.19</v>
      </c>
      <c r="U132" s="7">
        <v>1.8540000000000001</v>
      </c>
      <c r="V132" s="7"/>
      <c r="W132" s="7"/>
      <c r="X132" s="7"/>
      <c r="Y132" s="7"/>
      <c r="Z132" s="7"/>
      <c r="AA132" s="7"/>
      <c r="AB132" s="7"/>
      <c r="AC132" s="7" t="e">
        <f>Tabelle1311[[#This Row],[SD 1]]/Tabelle1311[[#This Row],[Mean Visc. 1 '[mPas']]]</f>
        <v>#DIV/0!</v>
      </c>
      <c r="AD132" s="7" t="e">
        <f>[1]!Tabelle1326[[#This Row],[SD 2]]/[1]!Tabelle1326[[#This Row],[Mean Visc. 2 '[mPas']2]]</f>
        <v>#VALUE!</v>
      </c>
      <c r="AE132" s="7" t="e">
        <f>[1]!Tabelle1326[[#This Row],[SD 3]]/[1]!Tabelle1326[[#This Row],[Mean Visc. 3 '[mPas']3]]</f>
        <v>#VALUE!</v>
      </c>
    </row>
    <row r="133" spans="1:31" x14ac:dyDescent="0.3">
      <c r="A133">
        <v>132</v>
      </c>
      <c r="B133" s="4"/>
      <c r="C133" s="5"/>
      <c r="D133" s="7">
        <v>14</v>
      </c>
      <c r="E133" t="s">
        <v>174</v>
      </c>
      <c r="F133" t="s">
        <v>199</v>
      </c>
      <c r="G133" s="23"/>
      <c r="H133" s="11" t="s">
        <v>198</v>
      </c>
      <c r="I133" s="9" t="s">
        <v>12</v>
      </c>
      <c r="J133" s="7">
        <v>22.9</v>
      </c>
      <c r="K133" s="7">
        <v>28</v>
      </c>
      <c r="L133" s="7">
        <v>30.8</v>
      </c>
      <c r="M133" s="7">
        <v>386</v>
      </c>
      <c r="N133" s="7" t="e">
        <f>[1]!Tabelle1321011121516[[#This Row],[Anzahl Frames]]/[1]!Tabelle1321011121516[[#This Row],[Aufnahmezeit '[s']]]</f>
        <v>#VALUE!</v>
      </c>
      <c r="O133" s="6" t="e">
        <f>1/[1]!Tabelle1321011121516[[#This Row],[Mean fps ]]</f>
        <v>#VALUE!</v>
      </c>
      <c r="P133" s="7">
        <v>40</v>
      </c>
      <c r="Q133" s="3"/>
      <c r="R133" s="11"/>
      <c r="S133" s="7">
        <v>1.4119999999999999</v>
      </c>
      <c r="T133" s="7">
        <v>1.085</v>
      </c>
      <c r="U133" s="7">
        <v>1.839</v>
      </c>
      <c r="V133" s="7"/>
      <c r="W133" s="7"/>
      <c r="X133" s="7"/>
      <c r="Y133" s="7"/>
      <c r="Z133" s="7"/>
      <c r="AA133" s="7"/>
      <c r="AB133" s="7"/>
      <c r="AC133" s="7" t="e">
        <f>Tabelle1311[[#This Row],[SD 1]]/Tabelle1311[[#This Row],[Mean Visc. 1 '[mPas']]]</f>
        <v>#DIV/0!</v>
      </c>
      <c r="AD133" s="7" t="e">
        <f>[1]!Tabelle1326[[#This Row],[SD 2]]/[1]!Tabelle1326[[#This Row],[Mean Visc. 2 '[mPas']2]]</f>
        <v>#VALUE!</v>
      </c>
      <c r="AE133" s="7" t="e">
        <f>[1]!Tabelle1326[[#This Row],[SD 3]]/[1]!Tabelle1326[[#This Row],[Mean Visc. 3 '[mPas']3]]</f>
        <v>#VALUE!</v>
      </c>
    </row>
    <row r="134" spans="1:31" x14ac:dyDescent="0.3">
      <c r="A134">
        <v>133</v>
      </c>
      <c r="B134" s="4"/>
      <c r="C134" s="5"/>
      <c r="D134" s="7">
        <v>14</v>
      </c>
      <c r="E134" t="s">
        <v>174</v>
      </c>
      <c r="F134" t="s">
        <v>199</v>
      </c>
      <c r="G134" s="23"/>
      <c r="H134" s="11" t="s">
        <v>198</v>
      </c>
      <c r="I134" s="9" t="s">
        <v>12</v>
      </c>
      <c r="J134" s="7">
        <v>23.1</v>
      </c>
      <c r="K134" s="7">
        <v>28</v>
      </c>
      <c r="L134" s="7">
        <v>31.04</v>
      </c>
      <c r="M134" s="7">
        <v>388</v>
      </c>
      <c r="N134" s="7" t="e">
        <f>[1]!Tabelle1321011121516[[#This Row],[Anzahl Frames]]/[1]!Tabelle1321011121516[[#This Row],[Aufnahmezeit '[s']]]</f>
        <v>#VALUE!</v>
      </c>
      <c r="O134" s="6" t="e">
        <f>1/[1]!Tabelle1321011121516[[#This Row],[Mean fps ]]</f>
        <v>#VALUE!</v>
      </c>
      <c r="P134" s="7">
        <v>40</v>
      </c>
      <c r="Q134" s="3"/>
      <c r="R134" s="11"/>
      <c r="S134" s="7">
        <v>1.2629999999999999</v>
      </c>
      <c r="T134" s="7">
        <v>1.0529999999999999</v>
      </c>
      <c r="U134" s="7">
        <v>1.8420000000000001</v>
      </c>
      <c r="V134" s="7"/>
      <c r="W134" s="7"/>
      <c r="X134" s="7"/>
      <c r="Y134" s="7"/>
      <c r="Z134" s="7"/>
      <c r="AA134" s="7"/>
      <c r="AB134" s="7"/>
      <c r="AC134" s="7" t="e">
        <f>Tabelle1311[[#This Row],[SD 1]]/Tabelle1311[[#This Row],[Mean Visc. 1 '[mPas']]]</f>
        <v>#DIV/0!</v>
      </c>
      <c r="AD134" s="7" t="e">
        <f>[1]!Tabelle1326[[#This Row],[SD 2]]/[1]!Tabelle1326[[#This Row],[Mean Visc. 2 '[mPas']2]]</f>
        <v>#VALUE!</v>
      </c>
      <c r="AE134" s="7" t="e">
        <f>[1]!Tabelle1326[[#This Row],[SD 3]]/[1]!Tabelle1326[[#This Row],[Mean Visc. 3 '[mPas']3]]</f>
        <v>#VALUE!</v>
      </c>
    </row>
    <row r="135" spans="1:31" x14ac:dyDescent="0.3">
      <c r="A135">
        <v>134</v>
      </c>
      <c r="B135" s="4"/>
      <c r="C135" s="5"/>
      <c r="D135" s="7">
        <v>14</v>
      </c>
      <c r="E135" t="s">
        <v>174</v>
      </c>
      <c r="F135" t="s">
        <v>199</v>
      </c>
      <c r="G135" s="23"/>
      <c r="H135" s="11" t="s">
        <v>198</v>
      </c>
      <c r="I135" s="9" t="s">
        <v>12</v>
      </c>
      <c r="J135" s="7">
        <v>23.2</v>
      </c>
      <c r="K135" s="7">
        <v>28</v>
      </c>
      <c r="L135" s="7">
        <v>31.6</v>
      </c>
      <c r="M135" s="7">
        <v>395</v>
      </c>
      <c r="N135" s="7" t="e">
        <f>[1]!Tabelle1321011121516[[#This Row],[Anzahl Frames]]/[1]!Tabelle1321011121516[[#This Row],[Aufnahmezeit '[s']]]</f>
        <v>#VALUE!</v>
      </c>
      <c r="O135" s="6" t="e">
        <f>1/[1]!Tabelle1321011121516[[#This Row],[Mean fps ]]</f>
        <v>#VALUE!</v>
      </c>
      <c r="P135" s="7">
        <v>40</v>
      </c>
      <c r="Q135" s="3"/>
      <c r="R135" s="11"/>
      <c r="S135" s="7">
        <v>1.3069999999999999</v>
      </c>
      <c r="T135" s="7">
        <v>1.0680000000000001</v>
      </c>
      <c r="U135" s="7">
        <v>1.8620000000000001</v>
      </c>
      <c r="V135" s="7"/>
      <c r="W135" s="7"/>
      <c r="X135" s="7"/>
      <c r="Y135" s="7"/>
      <c r="Z135" s="7"/>
      <c r="AA135" s="7"/>
      <c r="AB135" s="7"/>
      <c r="AC135" s="7" t="e">
        <f>Tabelle1311[[#This Row],[SD 1]]/Tabelle1311[[#This Row],[Mean Visc. 1 '[mPas']]]</f>
        <v>#DIV/0!</v>
      </c>
      <c r="AD135" s="7" t="e">
        <f>[1]!Tabelle1326[[#This Row],[SD 2]]/[1]!Tabelle1326[[#This Row],[Mean Visc. 2 '[mPas']2]]</f>
        <v>#VALUE!</v>
      </c>
      <c r="AE135" s="7" t="e">
        <f>[1]!Tabelle1326[[#This Row],[SD 3]]/[1]!Tabelle1326[[#This Row],[Mean Visc. 3 '[mPas']3]]</f>
        <v>#VALUE!</v>
      </c>
    </row>
    <row r="136" spans="1:31" ht="15" thickBot="1" x14ac:dyDescent="0.35">
      <c r="A136">
        <v>135</v>
      </c>
      <c r="B136" s="15"/>
      <c r="C136" s="16"/>
      <c r="D136" s="7">
        <v>14</v>
      </c>
      <c r="E136" t="s">
        <v>174</v>
      </c>
      <c r="F136" t="s">
        <v>199</v>
      </c>
      <c r="G136" s="24"/>
      <c r="H136" s="21" t="s">
        <v>198</v>
      </c>
      <c r="I136" s="9" t="s">
        <v>12</v>
      </c>
      <c r="J136" s="17">
        <v>23.2</v>
      </c>
      <c r="K136" s="17">
        <v>28</v>
      </c>
      <c r="L136" s="17">
        <v>30.4</v>
      </c>
      <c r="M136" s="17">
        <v>380</v>
      </c>
      <c r="N136" s="17" t="e">
        <f>[1]!Tabelle1321011121516[[#This Row],[Anzahl Frames]]/[1]!Tabelle1321011121516[[#This Row],[Aufnahmezeit '[s']]]</f>
        <v>#VALUE!</v>
      </c>
      <c r="O136" s="25" t="e">
        <f>1/[1]!Tabelle1321011121516[[#This Row],[Mean fps ]]</f>
        <v>#VALUE!</v>
      </c>
      <c r="P136" s="17">
        <v>40</v>
      </c>
      <c r="Q136" s="20"/>
      <c r="R136" s="21"/>
      <c r="S136" s="17">
        <v>1.4</v>
      </c>
      <c r="T136" s="17">
        <v>1.1830000000000001</v>
      </c>
      <c r="U136" s="17">
        <v>1.9139999999999999</v>
      </c>
      <c r="V136" s="17"/>
      <c r="W136" s="17"/>
      <c r="X136" s="17"/>
      <c r="Y136" s="17"/>
      <c r="Z136" s="17"/>
      <c r="AA136" s="17"/>
      <c r="AB136" s="17"/>
      <c r="AC136" s="17" t="e">
        <f>Tabelle1311[[#This Row],[SD 1]]/Tabelle1311[[#This Row],[Mean Visc. 1 '[mPas']]]</f>
        <v>#DIV/0!</v>
      </c>
      <c r="AD136" s="17" t="e">
        <f>[1]!Tabelle1326[[#This Row],[SD 2]]/[1]!Tabelle1326[[#This Row],[Mean Visc. 2 '[mPas']2]]</f>
        <v>#VALUE!</v>
      </c>
      <c r="AE136" s="17" t="e">
        <f>[1]!Tabelle1326[[#This Row],[SD 3]]/[1]!Tabelle1326[[#This Row],[Mean Visc. 3 '[mPas']3]]</f>
        <v>#VALUE!</v>
      </c>
    </row>
    <row r="137" spans="1:31" ht="15" thickTop="1" x14ac:dyDescent="0.3">
      <c r="A137">
        <v>136</v>
      </c>
      <c r="B137" s="4"/>
      <c r="C137" s="5"/>
      <c r="D137" s="7">
        <v>14</v>
      </c>
      <c r="E137" t="s">
        <v>174</v>
      </c>
      <c r="F137" t="s">
        <v>199</v>
      </c>
      <c r="G137" s="23"/>
      <c r="H137" s="11" t="s">
        <v>198</v>
      </c>
      <c r="I137" s="9" t="s">
        <v>12</v>
      </c>
      <c r="J137" s="7">
        <v>23.4</v>
      </c>
      <c r="K137" s="7">
        <v>28</v>
      </c>
      <c r="L137" s="7">
        <v>30.08</v>
      </c>
      <c r="M137" s="7">
        <v>377</v>
      </c>
      <c r="N137" s="7" t="e">
        <f>[1]!Tabelle1321011121516[[#This Row],[Anzahl Frames]]/[1]!Tabelle1321011121516[[#This Row],[Aufnahmezeit '[s']]]</f>
        <v>#VALUE!</v>
      </c>
      <c r="O137" s="6" t="e">
        <f>1/[1]!Tabelle1321011121516[[#This Row],[Mean fps ]]</f>
        <v>#VALUE!</v>
      </c>
      <c r="P137" s="7">
        <v>40</v>
      </c>
      <c r="Q137" s="3"/>
      <c r="R137" s="11"/>
      <c r="S137" s="7">
        <v>1.34</v>
      </c>
      <c r="T137" s="7">
        <v>1.1160000000000001</v>
      </c>
      <c r="U137" s="7">
        <v>1.8580000000000001</v>
      </c>
      <c r="V137" s="7"/>
      <c r="W137" s="7"/>
      <c r="X137" s="7"/>
      <c r="Y137" s="7"/>
      <c r="Z137" s="7"/>
      <c r="AA137" s="7"/>
      <c r="AB137" s="7"/>
      <c r="AC137" s="7" t="e">
        <f>Tabelle1311[[#This Row],[SD 1]]/Tabelle1311[[#This Row],[Mean Visc. 1 '[mPas']]]</f>
        <v>#DIV/0!</v>
      </c>
      <c r="AD137" s="7" t="e">
        <f>[1]!Tabelle1326[[#This Row],[SD 2]]/[1]!Tabelle1326[[#This Row],[Mean Visc. 2 '[mPas']2]]</f>
        <v>#VALUE!</v>
      </c>
      <c r="AE137" s="7" t="e">
        <f>[1]!Tabelle1326[[#This Row],[SD 3]]/[1]!Tabelle1326[[#This Row],[Mean Visc. 3 '[mPas']3]]</f>
        <v>#VALUE!</v>
      </c>
    </row>
    <row r="138" spans="1:31" x14ac:dyDescent="0.3">
      <c r="A138">
        <v>137</v>
      </c>
      <c r="B138" s="4"/>
      <c r="C138" s="5"/>
      <c r="D138" s="7">
        <v>14</v>
      </c>
      <c r="E138" t="s">
        <v>174</v>
      </c>
      <c r="F138" t="s">
        <v>199</v>
      </c>
      <c r="G138" s="23"/>
      <c r="H138" s="11" t="s">
        <v>198</v>
      </c>
      <c r="I138" s="9" t="s">
        <v>12</v>
      </c>
      <c r="J138" s="7">
        <v>23.5</v>
      </c>
      <c r="K138" s="7">
        <v>28</v>
      </c>
      <c r="L138" s="7">
        <v>33.61</v>
      </c>
      <c r="M138" s="7">
        <v>420</v>
      </c>
      <c r="N138" s="7" t="e">
        <f>[1]!Tabelle1321011121516[[#This Row],[Anzahl Frames]]/[1]!Tabelle1321011121516[[#This Row],[Aufnahmezeit '[s']]]</f>
        <v>#VALUE!</v>
      </c>
      <c r="O138" s="6" t="e">
        <f>1/[1]!Tabelle1321011121516[[#This Row],[Mean fps ]]</f>
        <v>#VALUE!</v>
      </c>
      <c r="P138" s="7">
        <v>40</v>
      </c>
      <c r="Q138" s="3"/>
      <c r="R138" s="11"/>
      <c r="S138" s="7">
        <v>1.345</v>
      </c>
      <c r="T138" s="7">
        <v>1.0740000000000001</v>
      </c>
      <c r="U138" s="7">
        <v>1.8939999999999999</v>
      </c>
      <c r="V138" s="7"/>
      <c r="W138" s="7"/>
      <c r="X138" s="7"/>
      <c r="Y138" s="7"/>
      <c r="Z138" s="7"/>
      <c r="AA138" s="7"/>
      <c r="AB138" s="7"/>
      <c r="AC138" s="7" t="e">
        <f>Tabelle1311[[#This Row],[SD 1]]/Tabelle1311[[#This Row],[Mean Visc. 1 '[mPas']]]</f>
        <v>#DIV/0!</v>
      </c>
      <c r="AD138" s="7" t="e">
        <f>[1]!Tabelle1326[[#This Row],[SD 2]]/[1]!Tabelle1326[[#This Row],[Mean Visc. 2 '[mPas']2]]</f>
        <v>#VALUE!</v>
      </c>
      <c r="AE138" s="7" t="e">
        <f>[1]!Tabelle1326[[#This Row],[SD 3]]/[1]!Tabelle1326[[#This Row],[Mean Visc. 3 '[mPas']3]]</f>
        <v>#VALUE!</v>
      </c>
    </row>
    <row r="139" spans="1:31" x14ac:dyDescent="0.3">
      <c r="A139">
        <v>138</v>
      </c>
      <c r="B139" s="4"/>
      <c r="C139" s="5"/>
      <c r="D139" s="7">
        <v>14</v>
      </c>
      <c r="E139" t="s">
        <v>174</v>
      </c>
      <c r="F139" t="s">
        <v>199</v>
      </c>
      <c r="G139" s="23"/>
      <c r="H139" s="11" t="s">
        <v>198</v>
      </c>
      <c r="I139" s="9" t="s">
        <v>12</v>
      </c>
      <c r="J139" s="7">
        <v>23.5</v>
      </c>
      <c r="K139" s="7">
        <v>28</v>
      </c>
      <c r="L139" s="7">
        <v>33.119999999999997</v>
      </c>
      <c r="M139" s="7">
        <v>414</v>
      </c>
      <c r="N139" s="7" t="e">
        <f>[1]!Tabelle1321011121516[[#This Row],[Anzahl Frames]]/[1]!Tabelle1321011121516[[#This Row],[Aufnahmezeit '[s']]]</f>
        <v>#VALUE!</v>
      </c>
      <c r="O139" s="6" t="e">
        <f>1/[1]!Tabelle1321011121516[[#This Row],[Mean fps ]]</f>
        <v>#VALUE!</v>
      </c>
      <c r="P139" s="7">
        <v>40</v>
      </c>
      <c r="Q139" s="3"/>
      <c r="R139" s="11"/>
      <c r="S139" s="7">
        <v>1.502</v>
      </c>
      <c r="T139" s="7">
        <v>1.194</v>
      </c>
      <c r="U139" s="7">
        <v>1.96</v>
      </c>
      <c r="V139" s="7"/>
      <c r="W139" s="7"/>
      <c r="X139" s="7"/>
      <c r="Y139" s="7"/>
      <c r="Z139" s="7"/>
      <c r="AA139" s="7"/>
      <c r="AB139" s="7"/>
      <c r="AC139" s="7" t="e">
        <f>Tabelle1311[[#This Row],[SD 1]]/Tabelle1311[[#This Row],[Mean Visc. 1 '[mPas']]]</f>
        <v>#DIV/0!</v>
      </c>
      <c r="AD139" s="7" t="e">
        <f>[1]!Tabelle1326[[#This Row],[SD 2]]/[1]!Tabelle1326[[#This Row],[Mean Visc. 2 '[mPas']2]]</f>
        <v>#VALUE!</v>
      </c>
      <c r="AE139" s="7" t="e">
        <f>[1]!Tabelle1326[[#This Row],[SD 3]]/[1]!Tabelle1326[[#This Row],[Mean Visc. 3 '[mPas']3]]</f>
        <v>#VALUE!</v>
      </c>
    </row>
    <row r="140" spans="1:31" x14ac:dyDescent="0.3">
      <c r="A140">
        <v>139</v>
      </c>
      <c r="B140" s="4"/>
      <c r="C140" s="5"/>
      <c r="D140" s="7">
        <v>14</v>
      </c>
      <c r="E140" t="s">
        <v>174</v>
      </c>
      <c r="F140" t="s">
        <v>199</v>
      </c>
      <c r="G140" s="23"/>
      <c r="H140" s="11" t="s">
        <v>198</v>
      </c>
      <c r="I140" s="9" t="s">
        <v>12</v>
      </c>
      <c r="J140" s="7">
        <v>23.6</v>
      </c>
      <c r="K140" s="7">
        <v>28</v>
      </c>
      <c r="L140" s="7">
        <v>30.98</v>
      </c>
      <c r="M140" s="7">
        <v>387</v>
      </c>
      <c r="N140" s="7" t="e">
        <f>[1]!Tabelle1321011121516[[#This Row],[Anzahl Frames]]/[1]!Tabelle1321011121516[[#This Row],[Aufnahmezeit '[s']]]</f>
        <v>#VALUE!</v>
      </c>
      <c r="O140" s="6" t="e">
        <f>1/[1]!Tabelle1321011121516[[#This Row],[Mean fps ]]</f>
        <v>#VALUE!</v>
      </c>
      <c r="P140" s="7">
        <v>40</v>
      </c>
      <c r="Q140" s="3"/>
      <c r="R140" s="11"/>
      <c r="S140" s="7">
        <v>1.33</v>
      </c>
      <c r="T140" s="7">
        <v>1.0920000000000001</v>
      </c>
      <c r="U140" s="7">
        <v>1.8640000000000001</v>
      </c>
      <c r="V140" s="7"/>
      <c r="W140" s="7"/>
      <c r="X140" s="7"/>
      <c r="Y140" s="7"/>
      <c r="Z140" s="7"/>
      <c r="AA140" s="7"/>
      <c r="AB140" s="7"/>
      <c r="AC140" s="7" t="e">
        <f>Tabelle1311[[#This Row],[SD 1]]/Tabelle1311[[#This Row],[Mean Visc. 1 '[mPas']]]</f>
        <v>#DIV/0!</v>
      </c>
      <c r="AD140" s="7" t="e">
        <f>[1]!Tabelle1326[[#This Row],[SD 2]]/[1]!Tabelle1326[[#This Row],[Mean Visc. 2 '[mPas']2]]</f>
        <v>#VALUE!</v>
      </c>
      <c r="AE140" s="7" t="e">
        <f>[1]!Tabelle1326[[#This Row],[SD 3]]/[1]!Tabelle1326[[#This Row],[Mean Visc. 3 '[mPas']3]]</f>
        <v>#VALUE!</v>
      </c>
    </row>
    <row r="141" spans="1:31" x14ac:dyDescent="0.3">
      <c r="A141">
        <v>140</v>
      </c>
      <c r="B141" s="4"/>
      <c r="C141" s="5"/>
      <c r="D141" s="7">
        <v>14</v>
      </c>
      <c r="E141" t="s">
        <v>174</v>
      </c>
      <c r="F141" t="s">
        <v>199</v>
      </c>
      <c r="G141" s="23"/>
      <c r="H141" s="11" t="s">
        <v>198</v>
      </c>
      <c r="I141" s="9" t="s">
        <v>12</v>
      </c>
      <c r="J141" s="7">
        <v>23.6</v>
      </c>
      <c r="K141" s="7">
        <v>28</v>
      </c>
      <c r="L141" s="7">
        <v>30.72</v>
      </c>
      <c r="M141" s="7">
        <v>385</v>
      </c>
      <c r="N141" s="7" t="e">
        <f>[1]!Tabelle1321011121516[[#This Row],[Anzahl Frames]]/[1]!Tabelle1321011121516[[#This Row],[Aufnahmezeit '[s']]]</f>
        <v>#VALUE!</v>
      </c>
      <c r="O141" s="6" t="e">
        <f>1/[1]!Tabelle1321011121516[[#This Row],[Mean fps ]]</f>
        <v>#VALUE!</v>
      </c>
      <c r="P141" s="7">
        <v>40</v>
      </c>
      <c r="Q141" s="3"/>
      <c r="R141" s="11"/>
      <c r="S141" s="7">
        <v>1.343</v>
      </c>
      <c r="T141" s="7">
        <v>1.083</v>
      </c>
      <c r="U141" s="7">
        <v>1.8220000000000001</v>
      </c>
      <c r="V141" s="7"/>
      <c r="W141" s="7">
        <f>SUM(S132:S141)/10</f>
        <v>1.3742000000000001</v>
      </c>
      <c r="X141" s="7">
        <f t="shared" ref="X141:Y141" si="13">SUM(T132:T141)/10</f>
        <v>1.1138000000000001</v>
      </c>
      <c r="Y141" s="7">
        <f t="shared" si="13"/>
        <v>1.8709</v>
      </c>
      <c r="Z141" s="7">
        <f>_xlfn.STDEV.S(S132:S141)</f>
        <v>7.893992089628106E-2</v>
      </c>
      <c r="AA141" s="7">
        <f>_xlfn.STDEV.S(T132:T141)</f>
        <v>5.4429975401631601E-2</v>
      </c>
      <c r="AB141" s="7">
        <f>_xlfn.STDEV.S(U132:U141)</f>
        <v>4.1032372043979512E-2</v>
      </c>
      <c r="AC141" s="7">
        <f>Tabelle1311[[#This Row],[SD 1]]/Tabelle1311[[#This Row],[Mean Visc. 1 '[mPas']]]</f>
        <v>5.7444273683802255E-2</v>
      </c>
      <c r="AD141" s="7" t="e">
        <f>[1]!Tabelle13210[[#This Row],[SD 2]]/[1]!Tabelle13210[[#This Row],[Mean Visc. 2 '[mPas']2]]</f>
        <v>#VALUE!</v>
      </c>
      <c r="AE141" s="7" t="e">
        <f>[1]!Tabelle13210[[#This Row],[SD 3]]/[1]!Tabelle13210[[#This Row],[Mean Visc. 3 '[mPas']3]]</f>
        <v>#VALUE!</v>
      </c>
    </row>
    <row r="142" spans="1:31" x14ac:dyDescent="0.3">
      <c r="A142">
        <v>141</v>
      </c>
      <c r="B142" s="4"/>
      <c r="C142" s="5"/>
      <c r="D142" s="7">
        <v>15</v>
      </c>
      <c r="E142" t="s">
        <v>167</v>
      </c>
      <c r="F142" t="s">
        <v>197</v>
      </c>
      <c r="G142" s="23"/>
      <c r="H142" s="11" t="s">
        <v>198</v>
      </c>
      <c r="I142" s="9" t="s">
        <v>12</v>
      </c>
      <c r="J142" s="7">
        <v>23.3</v>
      </c>
      <c r="K142" s="7">
        <v>27</v>
      </c>
      <c r="L142" s="7">
        <v>30.8</v>
      </c>
      <c r="M142" s="7">
        <v>385</v>
      </c>
      <c r="N142" s="7" t="e">
        <f>[1]!Tabelle1321011121516[[#This Row],[Anzahl Frames]]/[1]!Tabelle1321011121516[[#This Row],[Aufnahmezeit '[s']]]</f>
        <v>#VALUE!</v>
      </c>
      <c r="O142" s="6" t="e">
        <f>1/[1]!Tabelle1321011121516[[#This Row],[Mean fps ]]</f>
        <v>#VALUE!</v>
      </c>
      <c r="P142" s="7">
        <v>40</v>
      </c>
      <c r="Q142" s="3"/>
      <c r="R142" s="11"/>
      <c r="S142" s="7">
        <v>2.6619999999999999</v>
      </c>
      <c r="T142" s="7">
        <v>1.994</v>
      </c>
      <c r="U142" s="7">
        <v>2.8660000000000001</v>
      </c>
      <c r="V142" s="7"/>
      <c r="W142" s="7"/>
      <c r="X142" s="7"/>
      <c r="Y142" s="7"/>
      <c r="Z142" s="7"/>
      <c r="AA142" s="7"/>
      <c r="AB142" s="7"/>
      <c r="AC142" s="7" t="e">
        <f>Tabelle1311[[#This Row],[SD 1]]/Tabelle1311[[#This Row],[Mean Visc. 1 '[mPas']]]</f>
        <v>#DIV/0!</v>
      </c>
      <c r="AD142" s="7" t="e">
        <f>[1]!Tabelle1325[[#This Row],[SD 2]]/[1]!Tabelle1325[[#This Row],[Mean Visc. 2 '[mPas']2]]</f>
        <v>#VALUE!</v>
      </c>
      <c r="AE142" s="7" t="e">
        <f>[1]!Tabelle1325[[#This Row],[SD 3]]/[1]!Tabelle1325[[#This Row],[Mean Visc. 3 '[mPas']3]]</f>
        <v>#VALUE!</v>
      </c>
    </row>
    <row r="143" spans="1:31" x14ac:dyDescent="0.3">
      <c r="A143">
        <v>142</v>
      </c>
      <c r="B143" s="4"/>
      <c r="C143" s="5"/>
      <c r="D143" s="7">
        <v>15</v>
      </c>
      <c r="E143" t="s">
        <v>167</v>
      </c>
      <c r="F143" t="s">
        <v>197</v>
      </c>
      <c r="G143" s="23"/>
      <c r="H143" s="11" t="s">
        <v>198</v>
      </c>
      <c r="I143" s="9" t="s">
        <v>12</v>
      </c>
      <c r="J143" s="7">
        <v>23.4</v>
      </c>
      <c r="K143" s="7">
        <v>27</v>
      </c>
      <c r="L143" s="7">
        <v>30.96</v>
      </c>
      <c r="M143" s="7">
        <v>387</v>
      </c>
      <c r="N143" s="7" t="e">
        <f>[1]!Tabelle1321011121516[[#This Row],[Anzahl Frames]]/[1]!Tabelle1321011121516[[#This Row],[Aufnahmezeit '[s']]]</f>
        <v>#VALUE!</v>
      </c>
      <c r="O143" s="6" t="e">
        <f>1/[1]!Tabelle1321011121516[[#This Row],[Mean fps ]]</f>
        <v>#VALUE!</v>
      </c>
      <c r="P143" s="7">
        <v>40</v>
      </c>
      <c r="Q143" s="3"/>
      <c r="R143" s="11"/>
      <c r="S143" s="7">
        <v>2.4380000000000002</v>
      </c>
      <c r="T143" s="7">
        <v>1.9650000000000001</v>
      </c>
      <c r="U143" s="7">
        <v>2.819</v>
      </c>
      <c r="V143" s="7"/>
      <c r="W143" s="7"/>
      <c r="X143" s="7"/>
      <c r="Y143" s="7"/>
      <c r="Z143" s="7"/>
      <c r="AA143" s="7"/>
      <c r="AB143" s="7"/>
      <c r="AC143" s="7" t="e">
        <f>Tabelle1311[[#This Row],[SD 1]]/Tabelle1311[[#This Row],[Mean Visc. 1 '[mPas']]]</f>
        <v>#DIV/0!</v>
      </c>
      <c r="AD143" s="7" t="e">
        <f>[1]!Tabelle1325[[#This Row],[SD 2]]/[1]!Tabelle1325[[#This Row],[Mean Visc. 2 '[mPas']2]]</f>
        <v>#VALUE!</v>
      </c>
      <c r="AE143" s="7" t="e">
        <f>[1]!Tabelle1325[[#This Row],[SD 3]]/[1]!Tabelle1325[[#This Row],[Mean Visc. 3 '[mPas']3]]</f>
        <v>#VALUE!</v>
      </c>
    </row>
    <row r="144" spans="1:31" x14ac:dyDescent="0.3">
      <c r="A144">
        <v>143</v>
      </c>
      <c r="B144" s="4"/>
      <c r="C144" s="5"/>
      <c r="D144" s="7">
        <v>15</v>
      </c>
      <c r="E144" t="s">
        <v>167</v>
      </c>
      <c r="F144" t="s">
        <v>197</v>
      </c>
      <c r="G144" s="23"/>
      <c r="H144" s="11" t="s">
        <v>198</v>
      </c>
      <c r="I144" s="9" t="s">
        <v>12</v>
      </c>
      <c r="J144" s="7">
        <v>23.5</v>
      </c>
      <c r="K144" s="7">
        <v>26</v>
      </c>
      <c r="L144" s="7">
        <v>30.64</v>
      </c>
      <c r="M144" s="7">
        <v>383</v>
      </c>
      <c r="N144" s="7" t="e">
        <f>[1]!Tabelle1321011121516[[#This Row],[Anzahl Frames]]/[1]!Tabelle1321011121516[[#This Row],[Aufnahmezeit '[s']]]</f>
        <v>#VALUE!</v>
      </c>
      <c r="O144" s="6" t="e">
        <f>1/[1]!Tabelle1321011121516[[#This Row],[Mean fps ]]</f>
        <v>#VALUE!</v>
      </c>
      <c r="P144" s="7">
        <v>40</v>
      </c>
      <c r="Q144" s="3"/>
      <c r="R144" s="11"/>
      <c r="S144" s="7">
        <v>3.012</v>
      </c>
      <c r="T144" s="7">
        <v>2.3780000000000001</v>
      </c>
      <c r="U144" s="7">
        <v>3.0979999999999999</v>
      </c>
      <c r="V144" s="7"/>
      <c r="W144" s="7"/>
      <c r="X144" s="7"/>
      <c r="Y144" s="7"/>
      <c r="Z144" s="7"/>
      <c r="AA144" s="7"/>
      <c r="AB144" s="7"/>
      <c r="AC144" s="7" t="e">
        <f>Tabelle1311[[#This Row],[SD 1]]/Tabelle1311[[#This Row],[Mean Visc. 1 '[mPas']]]</f>
        <v>#DIV/0!</v>
      </c>
      <c r="AD144" s="7" t="e">
        <f>[1]!Tabelle1325[[#This Row],[SD 2]]/[1]!Tabelle1325[[#This Row],[Mean Visc. 2 '[mPas']2]]</f>
        <v>#VALUE!</v>
      </c>
      <c r="AE144" s="7" t="e">
        <f>[1]!Tabelle1325[[#This Row],[SD 3]]/[1]!Tabelle1325[[#This Row],[Mean Visc. 3 '[mPas']3]]</f>
        <v>#VALUE!</v>
      </c>
    </row>
    <row r="145" spans="1:31" x14ac:dyDescent="0.3">
      <c r="A145">
        <v>144</v>
      </c>
      <c r="B145" s="4"/>
      <c r="C145" s="5"/>
      <c r="D145" s="7">
        <v>15</v>
      </c>
      <c r="E145" t="s">
        <v>167</v>
      </c>
      <c r="F145" t="s">
        <v>197</v>
      </c>
      <c r="G145" s="23"/>
      <c r="H145" s="11" t="s">
        <v>198</v>
      </c>
      <c r="I145" s="9" t="s">
        <v>12</v>
      </c>
      <c r="J145" s="7">
        <v>23.6</v>
      </c>
      <c r="K145" s="7">
        <v>26</v>
      </c>
      <c r="L145" s="7">
        <v>30.24</v>
      </c>
      <c r="M145" s="7">
        <v>379</v>
      </c>
      <c r="N145" s="7" t="e">
        <f>[1]!Tabelle1321011121516[[#This Row],[Anzahl Frames]]/[1]!Tabelle1321011121516[[#This Row],[Aufnahmezeit '[s']]]</f>
        <v>#VALUE!</v>
      </c>
      <c r="O145" s="6" t="e">
        <f>1/[1]!Tabelle1321011121516[[#This Row],[Mean fps ]]</f>
        <v>#VALUE!</v>
      </c>
      <c r="P145" s="7">
        <v>40</v>
      </c>
      <c r="Q145" s="3"/>
      <c r="R145" s="11"/>
      <c r="S145" s="7">
        <v>2.665</v>
      </c>
      <c r="T145" s="7">
        <v>2.1669999999999998</v>
      </c>
      <c r="U145" s="7">
        <v>2.8279999999999998</v>
      </c>
      <c r="V145" s="7"/>
      <c r="W145" s="7"/>
      <c r="X145" s="7"/>
      <c r="Y145" s="7"/>
      <c r="Z145" s="7"/>
      <c r="AA145" s="7"/>
      <c r="AB145" s="7"/>
      <c r="AC145" s="7" t="e">
        <f>Tabelle1311[[#This Row],[SD 1]]/Tabelle1311[[#This Row],[Mean Visc. 1 '[mPas']]]</f>
        <v>#DIV/0!</v>
      </c>
      <c r="AD145" s="7" t="e">
        <f>[1]!Tabelle1325[[#This Row],[SD 2]]/[1]!Tabelle1325[[#This Row],[Mean Visc. 2 '[mPas']2]]</f>
        <v>#VALUE!</v>
      </c>
      <c r="AE145" s="7" t="e">
        <f>[1]!Tabelle1325[[#This Row],[SD 3]]/[1]!Tabelle1325[[#This Row],[Mean Visc. 3 '[mPas']3]]</f>
        <v>#VALUE!</v>
      </c>
    </row>
    <row r="146" spans="1:31" ht="15" thickBot="1" x14ac:dyDescent="0.35">
      <c r="A146">
        <v>145</v>
      </c>
      <c r="B146" s="15"/>
      <c r="C146" s="16"/>
      <c r="D146" s="7">
        <v>15</v>
      </c>
      <c r="E146" t="s">
        <v>167</v>
      </c>
      <c r="F146" t="s">
        <v>197</v>
      </c>
      <c r="G146" s="24"/>
      <c r="H146" s="21" t="s">
        <v>198</v>
      </c>
      <c r="I146" s="9" t="s">
        <v>12</v>
      </c>
      <c r="J146" s="17">
        <v>23.7</v>
      </c>
      <c r="K146" s="17">
        <v>26</v>
      </c>
      <c r="L146" s="17">
        <v>30.88</v>
      </c>
      <c r="M146" s="17">
        <v>386</v>
      </c>
      <c r="N146" s="17" t="e">
        <f>[1]!Tabelle1321011121516[[#This Row],[Anzahl Frames]]/[1]!Tabelle1321011121516[[#This Row],[Aufnahmezeit '[s']]]</f>
        <v>#VALUE!</v>
      </c>
      <c r="O146" s="25" t="e">
        <f>1/[1]!Tabelle1321011121516[[#This Row],[Mean fps ]]</f>
        <v>#VALUE!</v>
      </c>
      <c r="P146" s="17">
        <v>40</v>
      </c>
      <c r="Q146" s="20"/>
      <c r="R146" s="21"/>
      <c r="S146" s="17">
        <v>2.375</v>
      </c>
      <c r="T146" s="17">
        <v>1.853</v>
      </c>
      <c r="U146" s="17">
        <v>2.73</v>
      </c>
      <c r="V146" s="17"/>
      <c r="W146" s="17"/>
      <c r="X146" s="17"/>
      <c r="Y146" s="17"/>
      <c r="Z146" s="17"/>
      <c r="AA146" s="17"/>
      <c r="AB146" s="17"/>
      <c r="AC146" s="17" t="e">
        <f>Tabelle1311[[#This Row],[SD 1]]/Tabelle1311[[#This Row],[Mean Visc. 1 '[mPas']]]</f>
        <v>#DIV/0!</v>
      </c>
      <c r="AD146" s="17" t="e">
        <f>[1]!Tabelle1325[[#This Row],[SD 2]]/[1]!Tabelle1325[[#This Row],[Mean Visc. 2 '[mPas']2]]</f>
        <v>#VALUE!</v>
      </c>
      <c r="AE146" s="17" t="e">
        <f>[1]!Tabelle1325[[#This Row],[SD 3]]/[1]!Tabelle1325[[#This Row],[Mean Visc. 3 '[mPas']3]]</f>
        <v>#VALUE!</v>
      </c>
    </row>
    <row r="147" spans="1:31" ht="15" thickTop="1" x14ac:dyDescent="0.3">
      <c r="A147">
        <v>146</v>
      </c>
      <c r="B147" s="4"/>
      <c r="C147" s="5"/>
      <c r="D147" s="7">
        <v>15</v>
      </c>
      <c r="E147" t="s">
        <v>167</v>
      </c>
      <c r="F147" t="s">
        <v>197</v>
      </c>
      <c r="G147" s="23"/>
      <c r="H147" s="11" t="s">
        <v>198</v>
      </c>
      <c r="I147" s="9" t="s">
        <v>12</v>
      </c>
      <c r="J147" s="7">
        <v>23.8</v>
      </c>
      <c r="K147" s="7">
        <v>26</v>
      </c>
      <c r="L147" s="7">
        <v>30.8</v>
      </c>
      <c r="M147" s="7">
        <v>385</v>
      </c>
      <c r="N147" s="7" t="e">
        <f>[1]!Tabelle1321011121516[[#This Row],[Anzahl Frames]]/[1]!Tabelle1321011121516[[#This Row],[Aufnahmezeit '[s']]]</f>
        <v>#VALUE!</v>
      </c>
      <c r="O147" s="6" t="e">
        <f>1/[1]!Tabelle1321011121516[[#This Row],[Mean fps ]]</f>
        <v>#VALUE!</v>
      </c>
      <c r="P147" s="7">
        <v>40</v>
      </c>
      <c r="Q147" s="3"/>
      <c r="R147" s="11"/>
      <c r="S147" s="7">
        <v>2.5579999999999998</v>
      </c>
      <c r="T147" s="7">
        <v>1.9159999999999999</v>
      </c>
      <c r="U147" s="7">
        <v>2.8650000000000002</v>
      </c>
      <c r="V147" s="7"/>
      <c r="W147" s="7"/>
      <c r="X147" s="7"/>
      <c r="Y147" s="7"/>
      <c r="Z147" s="7"/>
      <c r="AA147" s="7"/>
      <c r="AB147" s="7"/>
      <c r="AC147" s="7" t="e">
        <f>Tabelle1311[[#This Row],[SD 1]]/Tabelle1311[[#This Row],[Mean Visc. 1 '[mPas']]]</f>
        <v>#DIV/0!</v>
      </c>
      <c r="AD147" s="7" t="e">
        <f>[1]!Tabelle1325[[#This Row],[SD 2]]/[1]!Tabelle1325[[#This Row],[Mean Visc. 2 '[mPas']2]]</f>
        <v>#VALUE!</v>
      </c>
      <c r="AE147" s="7" t="e">
        <f>[1]!Tabelle1325[[#This Row],[SD 3]]/[1]!Tabelle1325[[#This Row],[Mean Visc. 3 '[mPas']3]]</f>
        <v>#VALUE!</v>
      </c>
    </row>
    <row r="148" spans="1:31" x14ac:dyDescent="0.3">
      <c r="A148">
        <v>147</v>
      </c>
      <c r="B148" s="4"/>
      <c r="C148" s="5"/>
      <c r="D148" s="7">
        <v>15</v>
      </c>
      <c r="E148" t="s">
        <v>167</v>
      </c>
      <c r="F148" t="s">
        <v>197</v>
      </c>
      <c r="G148" s="23"/>
      <c r="H148" s="11" t="s">
        <v>198</v>
      </c>
      <c r="I148" s="9" t="s">
        <v>12</v>
      </c>
      <c r="J148" s="7">
        <v>23.9</v>
      </c>
      <c r="K148" s="7">
        <v>26</v>
      </c>
      <c r="L148" s="7">
        <v>30.96</v>
      </c>
      <c r="M148" s="7">
        <v>387</v>
      </c>
      <c r="N148" s="7" t="e">
        <f>[1]!Tabelle1321011121516[[#This Row],[Anzahl Frames]]/[1]!Tabelle1321011121516[[#This Row],[Aufnahmezeit '[s']]]</f>
        <v>#VALUE!</v>
      </c>
      <c r="O148" s="6" t="e">
        <f>1/[1]!Tabelle1321011121516[[#This Row],[Mean fps ]]</f>
        <v>#VALUE!</v>
      </c>
      <c r="P148" s="7">
        <v>40</v>
      </c>
      <c r="Q148" s="3"/>
      <c r="R148" s="11"/>
      <c r="S148" s="7">
        <v>3.6640000000000001</v>
      </c>
      <c r="T148" s="7">
        <v>2.2320000000000002</v>
      </c>
      <c r="U148" s="7">
        <v>3.4660000000000002</v>
      </c>
      <c r="V148" s="7"/>
      <c r="W148" s="7"/>
      <c r="X148" s="7"/>
      <c r="Y148" s="7"/>
      <c r="Z148" s="7"/>
      <c r="AA148" s="7"/>
      <c r="AB148" s="7"/>
      <c r="AC148" s="7" t="e">
        <f>Tabelle1311[[#This Row],[SD 1]]/Tabelle1311[[#This Row],[Mean Visc. 1 '[mPas']]]</f>
        <v>#DIV/0!</v>
      </c>
      <c r="AD148" s="7" t="e">
        <f>[1]!Tabelle1325[[#This Row],[SD 2]]/[1]!Tabelle1325[[#This Row],[Mean Visc. 2 '[mPas']2]]</f>
        <v>#VALUE!</v>
      </c>
      <c r="AE148" s="7" t="e">
        <f>[1]!Tabelle1325[[#This Row],[SD 3]]/[1]!Tabelle1325[[#This Row],[Mean Visc. 3 '[mPas']3]]</f>
        <v>#VALUE!</v>
      </c>
    </row>
    <row r="149" spans="1:31" x14ac:dyDescent="0.3">
      <c r="A149">
        <v>148</v>
      </c>
      <c r="B149" s="4"/>
      <c r="C149" s="5"/>
      <c r="D149" s="7">
        <v>15</v>
      </c>
      <c r="E149" t="s">
        <v>167</v>
      </c>
      <c r="F149" t="s">
        <v>197</v>
      </c>
      <c r="G149" s="23"/>
      <c r="H149" s="11" t="s">
        <v>198</v>
      </c>
      <c r="I149" s="9" t="s">
        <v>12</v>
      </c>
      <c r="J149" s="7">
        <v>24</v>
      </c>
      <c r="K149" s="7">
        <v>26</v>
      </c>
      <c r="L149" s="7">
        <v>30.32</v>
      </c>
      <c r="M149" s="7">
        <v>379</v>
      </c>
      <c r="N149" s="7" t="e">
        <f>[1]!Tabelle1321011121516[[#This Row],[Anzahl Frames]]/[1]!Tabelle1321011121516[[#This Row],[Aufnahmezeit '[s']]]</f>
        <v>#VALUE!</v>
      </c>
      <c r="O149" s="6" t="e">
        <f>1/[1]!Tabelle1321011121516[[#This Row],[Mean fps ]]</f>
        <v>#VALUE!</v>
      </c>
      <c r="P149" s="7">
        <v>40</v>
      </c>
      <c r="Q149" s="3"/>
      <c r="R149" s="11"/>
      <c r="S149" s="7">
        <v>3.03</v>
      </c>
      <c r="T149" s="7">
        <v>2.15</v>
      </c>
      <c r="U149" s="7">
        <v>3.0289999999999999</v>
      </c>
      <c r="V149" s="7"/>
      <c r="W149" s="7"/>
      <c r="X149" s="7"/>
      <c r="Y149" s="7"/>
      <c r="Z149" s="7"/>
      <c r="AA149" s="7"/>
      <c r="AB149" s="7"/>
      <c r="AC149" s="7" t="e">
        <f>Tabelle1311[[#This Row],[SD 1]]/Tabelle1311[[#This Row],[Mean Visc. 1 '[mPas']]]</f>
        <v>#DIV/0!</v>
      </c>
      <c r="AD149" s="7" t="e">
        <f>[1]!Tabelle1325[[#This Row],[SD 2]]/[1]!Tabelle1325[[#This Row],[Mean Visc. 2 '[mPas']2]]</f>
        <v>#VALUE!</v>
      </c>
      <c r="AE149" s="7" t="e">
        <f>[1]!Tabelle1325[[#This Row],[SD 3]]/[1]!Tabelle1325[[#This Row],[Mean Visc. 3 '[mPas']3]]</f>
        <v>#VALUE!</v>
      </c>
    </row>
    <row r="150" spans="1:31" x14ac:dyDescent="0.3">
      <c r="A150">
        <v>149</v>
      </c>
      <c r="B150" s="4"/>
      <c r="C150" s="5"/>
      <c r="D150" s="7">
        <v>15</v>
      </c>
      <c r="E150" t="s">
        <v>167</v>
      </c>
      <c r="F150" t="s">
        <v>197</v>
      </c>
      <c r="G150" s="23"/>
      <c r="H150" s="11" t="s">
        <v>198</v>
      </c>
      <c r="I150" s="9" t="s">
        <v>12</v>
      </c>
      <c r="J150" s="7">
        <v>24</v>
      </c>
      <c r="K150" s="7">
        <v>26</v>
      </c>
      <c r="L150" s="7">
        <v>31.2</v>
      </c>
      <c r="M150" s="7">
        <v>390</v>
      </c>
      <c r="N150" s="7" t="e">
        <f>[1]!Tabelle1321011121516[[#This Row],[Anzahl Frames]]/[1]!Tabelle1321011121516[[#This Row],[Aufnahmezeit '[s']]]</f>
        <v>#VALUE!</v>
      </c>
      <c r="O150" s="6" t="e">
        <f>1/[1]!Tabelle1321011121516[[#This Row],[Mean fps ]]</f>
        <v>#VALUE!</v>
      </c>
      <c r="P150" s="7">
        <v>40</v>
      </c>
      <c r="Q150" s="3"/>
      <c r="R150" s="11"/>
      <c r="S150" s="7">
        <v>2.8860000000000001</v>
      </c>
      <c r="T150" s="7">
        <v>2.0960000000000001</v>
      </c>
      <c r="U150" s="7">
        <v>3.2509999999999999</v>
      </c>
      <c r="V150" s="7"/>
      <c r="W150" s="7"/>
      <c r="X150" s="7"/>
      <c r="Y150" s="7"/>
      <c r="Z150" s="7"/>
      <c r="AA150" s="7"/>
      <c r="AB150" s="7"/>
      <c r="AC150" s="7" t="e">
        <f>Tabelle1311[[#This Row],[SD 1]]/Tabelle1311[[#This Row],[Mean Visc. 1 '[mPas']]]</f>
        <v>#DIV/0!</v>
      </c>
      <c r="AD150" s="7" t="e">
        <f>[1]!Tabelle1325[[#This Row],[SD 2]]/[1]!Tabelle1325[[#This Row],[Mean Visc. 2 '[mPas']2]]</f>
        <v>#VALUE!</v>
      </c>
      <c r="AE150" s="7" t="e">
        <f>[1]!Tabelle1325[[#This Row],[SD 3]]/[1]!Tabelle1325[[#This Row],[Mean Visc. 3 '[mPas']3]]</f>
        <v>#VALUE!</v>
      </c>
    </row>
    <row r="151" spans="1:31" x14ac:dyDescent="0.3">
      <c r="A151">
        <v>150</v>
      </c>
      <c r="B151" s="4"/>
      <c r="C151" s="5"/>
      <c r="D151" s="7">
        <v>15</v>
      </c>
      <c r="E151" t="s">
        <v>167</v>
      </c>
      <c r="F151" t="s">
        <v>197</v>
      </c>
      <c r="G151" s="23"/>
      <c r="H151" s="11" t="s">
        <v>198</v>
      </c>
      <c r="I151" s="9" t="s">
        <v>12</v>
      </c>
      <c r="J151" s="7">
        <v>24.1</v>
      </c>
      <c r="K151" s="7">
        <v>26</v>
      </c>
      <c r="L151" s="7">
        <v>30.58</v>
      </c>
      <c r="M151" s="7">
        <v>382</v>
      </c>
      <c r="N151" s="7" t="e">
        <f>[1]!Tabelle1321011121516[[#This Row],[Anzahl Frames]]/[1]!Tabelle1321011121516[[#This Row],[Aufnahmezeit '[s']]]</f>
        <v>#VALUE!</v>
      </c>
      <c r="O151" s="6" t="e">
        <f>1/[1]!Tabelle1321011121516[[#This Row],[Mean fps ]]</f>
        <v>#VALUE!</v>
      </c>
      <c r="P151" s="7">
        <v>40</v>
      </c>
      <c r="Q151" s="3"/>
      <c r="R151" s="11"/>
      <c r="S151" s="7">
        <v>2.9820000000000002</v>
      </c>
      <c r="T151" s="7">
        <v>2.0169999999999999</v>
      </c>
      <c r="U151" s="7">
        <v>3.0739999999999998</v>
      </c>
      <c r="V151" s="7"/>
      <c r="W151" s="7">
        <f>SUM(S142:S151)/10</f>
        <v>2.8272000000000004</v>
      </c>
      <c r="X151" s="7">
        <f t="shared" ref="X151:Y151" si="14">SUM(T142:T151)/10</f>
        <v>2.0767999999999995</v>
      </c>
      <c r="Y151" s="7">
        <f t="shared" si="14"/>
        <v>3.0026000000000002</v>
      </c>
      <c r="Z151" s="7">
        <f>_xlfn.STDEV.S(S142:S151)</f>
        <v>0.37785411647001155</v>
      </c>
      <c r="AA151" s="7">
        <f>_xlfn.STDEV.S(T142:T151)</f>
        <v>0.15900580003397505</v>
      </c>
      <c r="AB151" s="7">
        <f>_xlfn.STDEV.S(U142:U151)</f>
        <v>0.22789773535026139</v>
      </c>
      <c r="AC151" s="7">
        <f>Tabelle1311[[#This Row],[SD 1]]/Tabelle1311[[#This Row],[Mean Visc. 1 '[mPas']]]</f>
        <v>0.13364958845147548</v>
      </c>
      <c r="AD151" s="7" t="e">
        <f>[1]!Tabelle132101112[[#This Row],[SD 2]]/[1]!Tabelle132101112[[#This Row],[Mean Visc. 2 '[mPas']2]]</f>
        <v>#VALUE!</v>
      </c>
      <c r="AE151" s="7" t="e">
        <f>[1]!Tabelle132101112[[#This Row],[SD 3]]/[1]!Tabelle132101112[[#This Row],[Mean Visc. 3 '[mPas']3]]</f>
        <v>#VALUE!</v>
      </c>
    </row>
    <row r="152" spans="1:31" x14ac:dyDescent="0.3">
      <c r="A152">
        <v>151</v>
      </c>
      <c r="B152" s="4"/>
      <c r="C152" s="5"/>
      <c r="D152" s="7">
        <v>16</v>
      </c>
      <c r="E152" t="s">
        <v>167</v>
      </c>
      <c r="F152" t="s">
        <v>199</v>
      </c>
      <c r="G152" s="23"/>
      <c r="H152" s="11" t="s">
        <v>198</v>
      </c>
      <c r="I152" s="9" t="s">
        <v>12</v>
      </c>
      <c r="J152" s="7">
        <v>24.5</v>
      </c>
      <c r="K152" s="7">
        <v>27</v>
      </c>
      <c r="L152" s="7">
        <v>30.09</v>
      </c>
      <c r="M152" s="7">
        <v>378</v>
      </c>
      <c r="N152" s="7" t="e">
        <f>[1]!Tabelle1321011121516[[#This Row],[Anzahl Frames]]/[1]!Tabelle1321011121516[[#This Row],[Aufnahmezeit '[s']]]</f>
        <v>#VALUE!</v>
      </c>
      <c r="O152" s="6" t="e">
        <f>1/[1]!Tabelle1321011121516[[#This Row],[Mean fps ]]</f>
        <v>#VALUE!</v>
      </c>
      <c r="P152" s="7">
        <v>40</v>
      </c>
      <c r="Q152" s="3"/>
      <c r="R152" s="11"/>
      <c r="S152" s="7">
        <v>1.296</v>
      </c>
      <c r="T152" s="7">
        <v>1.232</v>
      </c>
      <c r="U152" s="7">
        <v>1.7</v>
      </c>
      <c r="V152" s="7"/>
      <c r="W152" s="7"/>
      <c r="X152" s="7"/>
      <c r="Y152" s="7"/>
      <c r="Z152" s="7"/>
      <c r="AA152" s="7"/>
      <c r="AB152" s="7"/>
      <c r="AC152" s="7" t="e">
        <f>Tabelle1311[[#This Row],[SD 1]]/Tabelle1311[[#This Row],[Mean Visc. 1 '[mPas']]]</f>
        <v>#DIV/0!</v>
      </c>
      <c r="AD152" s="7" t="e">
        <f>[1]!Tabelle1325[[#This Row],[SD 2]]/[1]!Tabelle1325[[#This Row],[Mean Visc. 2 '[mPas']2]]</f>
        <v>#VALUE!</v>
      </c>
      <c r="AE152" s="7" t="e">
        <f>[1]!Tabelle1325[[#This Row],[SD 3]]/[1]!Tabelle1325[[#This Row],[Mean Visc. 3 '[mPas']3]]</f>
        <v>#VALUE!</v>
      </c>
    </row>
    <row r="153" spans="1:31" x14ac:dyDescent="0.3">
      <c r="A153">
        <v>152</v>
      </c>
      <c r="B153" s="4"/>
      <c r="C153" s="5"/>
      <c r="D153" s="7">
        <v>16</v>
      </c>
      <c r="E153" t="s">
        <v>167</v>
      </c>
      <c r="F153" t="s">
        <v>199</v>
      </c>
      <c r="G153" s="23"/>
      <c r="H153" s="11" t="s">
        <v>198</v>
      </c>
      <c r="I153" s="9" t="s">
        <v>12</v>
      </c>
      <c r="J153" s="7">
        <v>25</v>
      </c>
      <c r="K153" s="7">
        <v>27</v>
      </c>
      <c r="L153" s="7">
        <v>31.52</v>
      </c>
      <c r="M153" s="7">
        <v>394</v>
      </c>
      <c r="N153" s="7" t="e">
        <f>[1]!Tabelle1321011121516[[#This Row],[Anzahl Frames]]/[1]!Tabelle1321011121516[[#This Row],[Aufnahmezeit '[s']]]</f>
        <v>#VALUE!</v>
      </c>
      <c r="O153" s="6" t="e">
        <f>1/[1]!Tabelle1321011121516[[#This Row],[Mean fps ]]</f>
        <v>#VALUE!</v>
      </c>
      <c r="P153" s="7">
        <v>40</v>
      </c>
      <c r="Q153" s="3"/>
      <c r="R153" s="11"/>
      <c r="S153" s="7">
        <v>1.4079999999999999</v>
      </c>
      <c r="T153" s="7">
        <v>1.1319999999999999</v>
      </c>
      <c r="U153" s="7">
        <v>1.857</v>
      </c>
      <c r="V153" s="7"/>
      <c r="W153" s="7"/>
      <c r="X153" s="7"/>
      <c r="Y153" s="7"/>
      <c r="Z153" s="7"/>
      <c r="AA153" s="7"/>
      <c r="AB153" s="7"/>
      <c r="AC153" s="7" t="e">
        <f>Tabelle1311[[#This Row],[SD 1]]/Tabelle1311[[#This Row],[Mean Visc. 1 '[mPas']]]</f>
        <v>#DIV/0!</v>
      </c>
      <c r="AD153" s="7" t="e">
        <f>[1]!Tabelle1325[[#This Row],[SD 2]]/[1]!Tabelle1325[[#This Row],[Mean Visc. 2 '[mPas']2]]</f>
        <v>#VALUE!</v>
      </c>
      <c r="AE153" s="7" t="e">
        <f>[1]!Tabelle1325[[#This Row],[SD 3]]/[1]!Tabelle1325[[#This Row],[Mean Visc. 3 '[mPas']3]]</f>
        <v>#VALUE!</v>
      </c>
    </row>
    <row r="154" spans="1:31" x14ac:dyDescent="0.3">
      <c r="A154">
        <v>153</v>
      </c>
      <c r="B154" s="4"/>
      <c r="C154" s="5"/>
      <c r="D154" s="7">
        <v>16</v>
      </c>
      <c r="E154" t="s">
        <v>167</v>
      </c>
      <c r="F154" t="s">
        <v>199</v>
      </c>
      <c r="G154" s="23"/>
      <c r="H154" s="11" t="s">
        <v>198</v>
      </c>
      <c r="I154" s="9" t="s">
        <v>12</v>
      </c>
      <c r="J154" s="7">
        <v>25.3</v>
      </c>
      <c r="K154" s="7">
        <v>27</v>
      </c>
      <c r="L154" s="7">
        <v>30.32</v>
      </c>
      <c r="M154" s="7">
        <v>380</v>
      </c>
      <c r="N154" s="7" t="e">
        <f>[1]!Tabelle1321011121516[[#This Row],[Anzahl Frames]]/[1]!Tabelle1321011121516[[#This Row],[Aufnahmezeit '[s']]]</f>
        <v>#VALUE!</v>
      </c>
      <c r="O154" s="6" t="e">
        <f>1/[1]!Tabelle1321011121516[[#This Row],[Mean fps ]]</f>
        <v>#VALUE!</v>
      </c>
      <c r="P154" s="7">
        <v>40</v>
      </c>
      <c r="Q154" s="3"/>
      <c r="R154" s="11"/>
      <c r="S154" s="7">
        <v>1.675</v>
      </c>
      <c r="T154" s="7">
        <v>1.48</v>
      </c>
      <c r="U154" s="7">
        <v>1.9370000000000001</v>
      </c>
      <c r="V154" s="7"/>
      <c r="W154" s="7"/>
      <c r="X154" s="7"/>
      <c r="Y154" s="7"/>
      <c r="Z154" s="7"/>
      <c r="AA154" s="7"/>
      <c r="AB154" s="7"/>
      <c r="AC154" s="7" t="e">
        <f>Tabelle1311[[#This Row],[SD 1]]/Tabelle1311[[#This Row],[Mean Visc. 1 '[mPas']]]</f>
        <v>#DIV/0!</v>
      </c>
      <c r="AD154" s="7" t="e">
        <f>[1]!Tabelle1325[[#This Row],[SD 2]]/[1]!Tabelle1325[[#This Row],[Mean Visc. 2 '[mPas']2]]</f>
        <v>#VALUE!</v>
      </c>
      <c r="AE154" s="7" t="e">
        <f>[1]!Tabelle1325[[#This Row],[SD 3]]/[1]!Tabelle1325[[#This Row],[Mean Visc. 3 '[mPas']3]]</f>
        <v>#VALUE!</v>
      </c>
    </row>
    <row r="155" spans="1:31" x14ac:dyDescent="0.3">
      <c r="A155">
        <v>154</v>
      </c>
      <c r="B155" s="4"/>
      <c r="C155" s="5"/>
      <c r="D155" s="7">
        <v>16</v>
      </c>
      <c r="E155" t="s">
        <v>167</v>
      </c>
      <c r="F155" t="s">
        <v>199</v>
      </c>
      <c r="G155" s="23"/>
      <c r="H155" s="11" t="s">
        <v>198</v>
      </c>
      <c r="I155" s="9" t="s">
        <v>12</v>
      </c>
      <c r="J155" s="7">
        <v>25.4</v>
      </c>
      <c r="K155" s="7">
        <v>23</v>
      </c>
      <c r="L155" s="7">
        <v>32.9</v>
      </c>
      <c r="M155" s="7">
        <v>411</v>
      </c>
      <c r="N155" s="7" t="e">
        <f>[1]!Tabelle1321011121516[[#This Row],[Anzahl Frames]]/[1]!Tabelle1321011121516[[#This Row],[Aufnahmezeit '[s']]]</f>
        <v>#VALUE!</v>
      </c>
      <c r="O155" s="6" t="e">
        <f>1/[1]!Tabelle1321011121516[[#This Row],[Mean fps ]]</f>
        <v>#VALUE!</v>
      </c>
      <c r="P155" s="7">
        <v>40</v>
      </c>
      <c r="Q155" s="3"/>
      <c r="R155" s="11"/>
      <c r="S155" s="7">
        <v>1.5369999999999999</v>
      </c>
      <c r="T155" s="7">
        <v>1.165</v>
      </c>
      <c r="U155" s="7">
        <v>1.9059999999999999</v>
      </c>
      <c r="V155" s="7"/>
      <c r="W155" s="7"/>
      <c r="X155" s="7"/>
      <c r="Y155" s="7"/>
      <c r="Z155" s="7"/>
      <c r="AA155" s="7"/>
      <c r="AB155" s="7"/>
      <c r="AC155" s="7" t="e">
        <f>Tabelle1311[[#This Row],[SD 1]]/Tabelle1311[[#This Row],[Mean Visc. 1 '[mPas']]]</f>
        <v>#DIV/0!</v>
      </c>
      <c r="AD155" s="7" t="e">
        <f>[1]!Tabelle1325[[#This Row],[SD 2]]/[1]!Tabelle1325[[#This Row],[Mean Visc. 2 '[mPas']2]]</f>
        <v>#VALUE!</v>
      </c>
      <c r="AE155" s="7" t="e">
        <f>[1]!Tabelle1325[[#This Row],[SD 3]]/[1]!Tabelle1325[[#This Row],[Mean Visc. 3 '[mPas']3]]</f>
        <v>#VALUE!</v>
      </c>
    </row>
    <row r="156" spans="1:31" ht="15" thickBot="1" x14ac:dyDescent="0.35">
      <c r="A156">
        <v>155</v>
      </c>
      <c r="B156" s="15"/>
      <c r="C156" s="16"/>
      <c r="D156" s="7">
        <v>16</v>
      </c>
      <c r="E156" t="s">
        <v>167</v>
      </c>
      <c r="F156" t="s">
        <v>199</v>
      </c>
      <c r="G156" s="24"/>
      <c r="H156" s="21" t="s">
        <v>198</v>
      </c>
      <c r="I156" s="9" t="s">
        <v>12</v>
      </c>
      <c r="J156" s="17">
        <v>25.6</v>
      </c>
      <c r="K156" s="17">
        <v>23</v>
      </c>
      <c r="L156" s="17">
        <v>30.72</v>
      </c>
      <c r="M156" s="17">
        <v>385</v>
      </c>
      <c r="N156" s="17" t="e">
        <f>[1]!Tabelle1321011121516[[#This Row],[Anzahl Frames]]/[1]!Tabelle1321011121516[[#This Row],[Aufnahmezeit '[s']]]</f>
        <v>#VALUE!</v>
      </c>
      <c r="O156" s="25" t="e">
        <f>1/[1]!Tabelle1321011121516[[#This Row],[Mean fps ]]</f>
        <v>#VALUE!</v>
      </c>
      <c r="P156" s="7">
        <v>40</v>
      </c>
      <c r="Q156" s="20"/>
      <c r="R156" s="21"/>
      <c r="S156" s="17">
        <v>1.6639999999999999</v>
      </c>
      <c r="T156" s="17">
        <v>1.37</v>
      </c>
      <c r="U156" s="17">
        <v>2.0179999999999998</v>
      </c>
      <c r="V156" s="17"/>
      <c r="W156" s="17"/>
      <c r="X156" s="17"/>
      <c r="Y156" s="17"/>
      <c r="Z156" s="17"/>
      <c r="AA156" s="17"/>
      <c r="AB156" s="17"/>
      <c r="AC156" s="17" t="e">
        <f>Tabelle1311[[#This Row],[SD 1]]/Tabelle1311[[#This Row],[Mean Visc. 1 '[mPas']]]</f>
        <v>#DIV/0!</v>
      </c>
      <c r="AD156" s="17" t="e">
        <f>[1]!Tabelle1325[[#This Row],[SD 2]]/[1]!Tabelle1325[[#This Row],[Mean Visc. 2 '[mPas']2]]</f>
        <v>#VALUE!</v>
      </c>
      <c r="AE156" s="17" t="e">
        <f>[1]!Tabelle1325[[#This Row],[SD 3]]/[1]!Tabelle1325[[#This Row],[Mean Visc. 3 '[mPas']3]]</f>
        <v>#VALUE!</v>
      </c>
    </row>
    <row r="157" spans="1:31" ht="15" thickTop="1" x14ac:dyDescent="0.3">
      <c r="A157">
        <v>156</v>
      </c>
      <c r="B157" s="4"/>
      <c r="C157" s="5"/>
      <c r="D157" s="7">
        <v>16</v>
      </c>
      <c r="E157" t="s">
        <v>167</v>
      </c>
      <c r="F157" t="s">
        <v>199</v>
      </c>
      <c r="G157" s="23"/>
      <c r="H157" s="11" t="s">
        <v>198</v>
      </c>
      <c r="I157" s="9" t="s">
        <v>12</v>
      </c>
      <c r="J157" s="7">
        <v>25.8</v>
      </c>
      <c r="K157" s="7">
        <v>23</v>
      </c>
      <c r="L157" s="7">
        <v>29.52</v>
      </c>
      <c r="M157" s="7">
        <v>369</v>
      </c>
      <c r="N157" s="7" t="e">
        <f>[1]!Tabelle1321011121516[[#This Row],[Anzahl Frames]]/[1]!Tabelle1321011121516[[#This Row],[Aufnahmezeit '[s']]]</f>
        <v>#VALUE!</v>
      </c>
      <c r="O157" s="6" t="e">
        <f>1/[1]!Tabelle1321011121516[[#This Row],[Mean fps ]]</f>
        <v>#VALUE!</v>
      </c>
      <c r="P157" s="7">
        <v>40</v>
      </c>
      <c r="Q157" s="3"/>
      <c r="R157" s="11"/>
      <c r="S157" s="7">
        <v>1.5029999999999999</v>
      </c>
      <c r="T157" s="7">
        <v>1.1220000000000001</v>
      </c>
      <c r="U157" s="7">
        <v>1.5389999999999999</v>
      </c>
      <c r="V157" s="7"/>
      <c r="W157" s="7"/>
      <c r="X157" s="7"/>
      <c r="Y157" s="7"/>
      <c r="Z157" s="7"/>
      <c r="AA157" s="7"/>
      <c r="AB157" s="7"/>
      <c r="AC157" s="7" t="e">
        <f>Tabelle1311[[#This Row],[SD 1]]/Tabelle1311[[#This Row],[Mean Visc. 1 '[mPas']]]</f>
        <v>#DIV/0!</v>
      </c>
      <c r="AD157" s="7" t="e">
        <f>[1]!Tabelle1325[[#This Row],[SD 2]]/[1]!Tabelle1325[[#This Row],[Mean Visc. 2 '[mPas']2]]</f>
        <v>#VALUE!</v>
      </c>
      <c r="AE157" s="7" t="e">
        <f>[1]!Tabelle1325[[#This Row],[SD 3]]/[1]!Tabelle1325[[#This Row],[Mean Visc. 3 '[mPas']3]]</f>
        <v>#VALUE!</v>
      </c>
    </row>
    <row r="158" spans="1:31" x14ac:dyDescent="0.3">
      <c r="A158">
        <v>157</v>
      </c>
      <c r="B158" s="4"/>
      <c r="C158" s="5"/>
      <c r="D158" s="7">
        <v>16</v>
      </c>
      <c r="E158" t="s">
        <v>167</v>
      </c>
      <c r="F158" t="s">
        <v>199</v>
      </c>
      <c r="G158" s="23"/>
      <c r="H158" s="11" t="s">
        <v>198</v>
      </c>
      <c r="I158" s="9" t="s">
        <v>12</v>
      </c>
      <c r="J158" s="7">
        <v>25.9</v>
      </c>
      <c r="K158" s="7">
        <v>23</v>
      </c>
      <c r="L158" s="7">
        <v>32.799999999999997</v>
      </c>
      <c r="M158" s="7">
        <v>411</v>
      </c>
      <c r="N158" s="7" t="e">
        <f>[1]!Tabelle1321011121516[[#This Row],[Anzahl Frames]]/[1]!Tabelle1321011121516[[#This Row],[Aufnahmezeit '[s']]]</f>
        <v>#VALUE!</v>
      </c>
      <c r="O158" s="6" t="e">
        <f>1/[1]!Tabelle1321011121516[[#This Row],[Mean fps ]]</f>
        <v>#VALUE!</v>
      </c>
      <c r="P158" s="7">
        <v>40</v>
      </c>
      <c r="Q158" s="3"/>
      <c r="R158" s="11"/>
      <c r="S158" s="7">
        <v>1.5429999999999999</v>
      </c>
      <c r="T158" s="7">
        <v>1.2909999999999999</v>
      </c>
      <c r="U158" s="7">
        <v>1.9490000000000001</v>
      </c>
      <c r="V158" s="7"/>
      <c r="W158" s="7"/>
      <c r="X158" s="7"/>
      <c r="Y158" s="7"/>
      <c r="Z158" s="7"/>
      <c r="AA158" s="7"/>
      <c r="AB158" s="7"/>
      <c r="AC158" s="7" t="e">
        <f>Tabelle1311[[#This Row],[SD 1]]/Tabelle1311[[#This Row],[Mean Visc. 1 '[mPas']]]</f>
        <v>#DIV/0!</v>
      </c>
      <c r="AD158" s="7" t="e">
        <f>[1]!Tabelle1325[[#This Row],[SD 2]]/[1]!Tabelle1325[[#This Row],[Mean Visc. 2 '[mPas']2]]</f>
        <v>#VALUE!</v>
      </c>
      <c r="AE158" s="7" t="e">
        <f>[1]!Tabelle1325[[#This Row],[SD 3]]/[1]!Tabelle1325[[#This Row],[Mean Visc. 3 '[mPas']3]]</f>
        <v>#VALUE!</v>
      </c>
    </row>
    <row r="159" spans="1:31" x14ac:dyDescent="0.3">
      <c r="A159">
        <v>158</v>
      </c>
      <c r="B159" s="4"/>
      <c r="C159" s="5"/>
      <c r="D159" s="7">
        <v>16</v>
      </c>
      <c r="E159" t="s">
        <v>167</v>
      </c>
      <c r="F159" t="s">
        <v>199</v>
      </c>
      <c r="G159" s="23"/>
      <c r="H159" s="11" t="s">
        <v>198</v>
      </c>
      <c r="I159" s="9" t="s">
        <v>12</v>
      </c>
      <c r="J159" s="7">
        <v>25.9</v>
      </c>
      <c r="K159" s="7">
        <v>23</v>
      </c>
      <c r="L159" s="7">
        <v>33.58</v>
      </c>
      <c r="M159" s="7">
        <v>419</v>
      </c>
      <c r="N159" s="7" t="e">
        <f>[1]!Tabelle1321011121516[[#This Row],[Anzahl Frames]]/[1]!Tabelle1321011121516[[#This Row],[Aufnahmezeit '[s']]]</f>
        <v>#VALUE!</v>
      </c>
      <c r="O159" s="6" t="e">
        <f>1/[1]!Tabelle1321011121516[[#This Row],[Mean fps ]]</f>
        <v>#VALUE!</v>
      </c>
      <c r="P159" s="7">
        <v>40</v>
      </c>
      <c r="Q159" s="3"/>
      <c r="R159" s="11"/>
      <c r="S159" s="7">
        <v>1.7050000000000001</v>
      </c>
      <c r="T159" s="7">
        <v>1.2809999999999999</v>
      </c>
      <c r="U159" s="7">
        <v>2.11</v>
      </c>
      <c r="V159" s="7"/>
      <c r="W159" s="7"/>
      <c r="X159" s="7"/>
      <c r="Y159" s="7"/>
      <c r="Z159" s="7"/>
      <c r="AA159" s="7"/>
      <c r="AB159" s="7"/>
      <c r="AC159" s="7" t="e">
        <f>Tabelle1311[[#This Row],[SD 1]]/Tabelle1311[[#This Row],[Mean Visc. 1 '[mPas']]]</f>
        <v>#DIV/0!</v>
      </c>
      <c r="AD159" s="7" t="e">
        <f>[1]!Tabelle1325[[#This Row],[SD 2]]/[1]!Tabelle1325[[#This Row],[Mean Visc. 2 '[mPas']2]]</f>
        <v>#VALUE!</v>
      </c>
      <c r="AE159" s="7" t="e">
        <f>[1]!Tabelle1325[[#This Row],[SD 3]]/[1]!Tabelle1325[[#This Row],[Mean Visc. 3 '[mPas']3]]</f>
        <v>#VALUE!</v>
      </c>
    </row>
    <row r="160" spans="1:31" x14ac:dyDescent="0.3">
      <c r="A160">
        <v>159</v>
      </c>
      <c r="B160" s="4"/>
      <c r="C160" s="5"/>
      <c r="D160" s="7">
        <v>16</v>
      </c>
      <c r="E160" t="s">
        <v>167</v>
      </c>
      <c r="F160" t="s">
        <v>199</v>
      </c>
      <c r="G160" s="23"/>
      <c r="H160" s="11" t="s">
        <v>198</v>
      </c>
      <c r="I160" s="9" t="s">
        <v>12</v>
      </c>
      <c r="J160" s="7">
        <v>25.9</v>
      </c>
      <c r="K160" s="7">
        <v>23</v>
      </c>
      <c r="L160" s="7">
        <v>34.799999999999997</v>
      </c>
      <c r="M160" s="7">
        <v>436</v>
      </c>
      <c r="N160" s="7" t="e">
        <f>[1]!Tabelle1321011121516[[#This Row],[Anzahl Frames]]/[1]!Tabelle1321011121516[[#This Row],[Aufnahmezeit '[s']]]</f>
        <v>#VALUE!</v>
      </c>
      <c r="O160" s="6" t="e">
        <f>1/[1]!Tabelle1321011121516[[#This Row],[Mean fps ]]</f>
        <v>#VALUE!</v>
      </c>
      <c r="P160" s="7">
        <v>40</v>
      </c>
      <c r="Q160" s="3"/>
      <c r="R160" s="11"/>
      <c r="S160" s="7">
        <v>2.0870000000000002</v>
      </c>
      <c r="T160" s="7">
        <v>1.6870000000000001</v>
      </c>
      <c r="U160" s="7">
        <v>2.0630000000000002</v>
      </c>
      <c r="V160" s="7"/>
      <c r="W160" s="7"/>
      <c r="X160" s="7"/>
      <c r="Y160" s="7"/>
      <c r="Z160" s="7"/>
      <c r="AA160" s="7"/>
      <c r="AB160" s="7"/>
      <c r="AC160" s="7" t="e">
        <f>Tabelle1311[[#This Row],[SD 1]]/Tabelle1311[[#This Row],[Mean Visc. 1 '[mPas']]]</f>
        <v>#DIV/0!</v>
      </c>
      <c r="AD160" s="7" t="e">
        <f>[1]!Tabelle1325[[#This Row],[SD 2]]/[1]!Tabelle1325[[#This Row],[Mean Visc. 2 '[mPas']2]]</f>
        <v>#VALUE!</v>
      </c>
      <c r="AE160" s="7" t="e">
        <f>[1]!Tabelle1325[[#This Row],[SD 3]]/[1]!Tabelle1325[[#This Row],[Mean Visc. 3 '[mPas']3]]</f>
        <v>#VALUE!</v>
      </c>
    </row>
    <row r="161" spans="1:31" x14ac:dyDescent="0.3">
      <c r="A161">
        <v>160</v>
      </c>
      <c r="B161" s="4"/>
      <c r="C161" s="5"/>
      <c r="D161" s="7">
        <v>16</v>
      </c>
      <c r="E161" t="s">
        <v>167</v>
      </c>
      <c r="F161" t="s">
        <v>199</v>
      </c>
      <c r="G161" s="23"/>
      <c r="H161" s="11" t="s">
        <v>198</v>
      </c>
      <c r="I161" s="9" t="s">
        <v>12</v>
      </c>
      <c r="J161" s="7">
        <v>25.9</v>
      </c>
      <c r="K161" s="7">
        <v>23</v>
      </c>
      <c r="L161" s="7">
        <v>32.47</v>
      </c>
      <c r="M161" s="7">
        <v>406</v>
      </c>
      <c r="N161" s="7" t="e">
        <f>[1]!Tabelle1321011121516[[#This Row],[Anzahl Frames]]/[1]!Tabelle1321011121516[[#This Row],[Aufnahmezeit '[s']]]</f>
        <v>#VALUE!</v>
      </c>
      <c r="O161" s="6" t="e">
        <f>1/[1]!Tabelle1321011121516[[#This Row],[Mean fps ]]</f>
        <v>#VALUE!</v>
      </c>
      <c r="P161" s="7">
        <v>40</v>
      </c>
      <c r="Q161" s="3"/>
      <c r="R161" s="11"/>
      <c r="S161" s="7">
        <v>1.5209999999999999</v>
      </c>
      <c r="T161" s="7">
        <v>1.282</v>
      </c>
      <c r="U161" s="7">
        <v>1.9019999999999999</v>
      </c>
      <c r="V161" s="7"/>
      <c r="W161" s="7">
        <f>SUM(S152:S161)/10</f>
        <v>1.5938999999999997</v>
      </c>
      <c r="X161" s="7">
        <f t="shared" ref="X161:Y161" si="15">SUM(T152:T161)/10</f>
        <v>1.3042</v>
      </c>
      <c r="Y161" s="7">
        <f t="shared" si="15"/>
        <v>1.8980999999999999</v>
      </c>
      <c r="Z161" s="7">
        <f>_xlfn.STDEV.S(S152:S161)</f>
        <v>0.21335700389514475</v>
      </c>
      <c r="AA161" s="7">
        <f>_xlfn.STDEV.S(T152:T161)</f>
        <v>0.17333833326121995</v>
      </c>
      <c r="AB161" s="7">
        <f>_xlfn.STDEV.S(U152:U161)</f>
        <v>0.17014271787074653</v>
      </c>
      <c r="AC161" s="7">
        <f>Tabelle1311[[#This Row],[SD 1]]/Tabelle1311[[#This Row],[Mean Visc. 1 '[mPas']]]</f>
        <v>0.13385846282398192</v>
      </c>
      <c r="AD161" s="7" t="e">
        <f>[1]!Tabelle132101112[[#This Row],[SD 2]]/[1]!Tabelle132101112[[#This Row],[Mean Visc. 2 '[mPas']2]]</f>
        <v>#VALUE!</v>
      </c>
      <c r="AE161" s="7" t="e">
        <f>[1]!Tabelle132101112[[#This Row],[SD 3]]/[1]!Tabelle132101112[[#This Row],[Mean Visc. 3 '[mPas']3]]</f>
        <v>#VALUE!</v>
      </c>
    </row>
    <row r="162" spans="1:31" x14ac:dyDescent="0.3">
      <c r="A162">
        <v>161</v>
      </c>
      <c r="B162" s="4"/>
      <c r="C162" s="5"/>
      <c r="D162" s="7">
        <v>17</v>
      </c>
      <c r="E162" t="s">
        <v>169</v>
      </c>
      <c r="F162" t="s">
        <v>192</v>
      </c>
      <c r="G162" s="23"/>
      <c r="H162" s="11" t="s">
        <v>198</v>
      </c>
      <c r="I162" s="9" t="s">
        <v>12</v>
      </c>
      <c r="J162" s="7">
        <v>25.2</v>
      </c>
      <c r="K162" s="7">
        <v>10</v>
      </c>
      <c r="L162" s="7">
        <v>31.12</v>
      </c>
      <c r="M162" s="7">
        <v>389</v>
      </c>
      <c r="N162" s="7" t="e">
        <f>[1]!Tabelle1321011121516[[#This Row],[Anzahl Frames]]/[1]!Tabelle1321011121516[[#This Row],[Aufnahmezeit '[s']]]</f>
        <v>#VALUE!</v>
      </c>
      <c r="O162" s="6" t="e">
        <f>1/[1]!Tabelle1321011121516[[#This Row],[Mean fps ]]</f>
        <v>#VALUE!</v>
      </c>
      <c r="P162" s="7">
        <v>40</v>
      </c>
      <c r="Q162" s="3"/>
      <c r="R162" s="11"/>
      <c r="S162" s="7">
        <v>1.1679999999999999</v>
      </c>
      <c r="T162" s="7">
        <v>0.94899999999999995</v>
      </c>
      <c r="U162" s="7">
        <v>1.611</v>
      </c>
      <c r="V162" s="7"/>
      <c r="W162" s="7"/>
      <c r="X162" s="7"/>
      <c r="Y162" s="7"/>
      <c r="Z162" s="7"/>
      <c r="AA162" s="7"/>
      <c r="AB162" s="7"/>
      <c r="AC162" s="7" t="e">
        <f>Tabelle1311[[#This Row],[SD 1]]/Tabelle1311[[#This Row],[Mean Visc. 1 '[mPas']]]</f>
        <v>#DIV/0!</v>
      </c>
      <c r="AD162" s="7" t="e">
        <f>[1]!Tabelle132101112[[#This Row],[SD 2]]/[1]!Tabelle132101112[[#This Row],[Mean Visc. 2 '[mPas']2]]</f>
        <v>#VALUE!</v>
      </c>
      <c r="AE162" s="7" t="e">
        <f>[1]!Tabelle132101112[[#This Row],[SD 3]]/[1]!Tabelle132101112[[#This Row],[Mean Visc. 3 '[mPas']3]]</f>
        <v>#VALUE!</v>
      </c>
    </row>
    <row r="163" spans="1:31" x14ac:dyDescent="0.3">
      <c r="A163">
        <v>162</v>
      </c>
      <c r="B163" s="4"/>
      <c r="C163" s="5"/>
      <c r="D163" s="7">
        <v>17</v>
      </c>
      <c r="E163" t="s">
        <v>169</v>
      </c>
      <c r="F163" t="s">
        <v>192</v>
      </c>
      <c r="G163" s="23"/>
      <c r="H163" s="11" t="s">
        <v>198</v>
      </c>
      <c r="I163" s="9" t="s">
        <v>12</v>
      </c>
      <c r="J163" s="7">
        <v>25.2</v>
      </c>
      <c r="K163" s="7">
        <v>10</v>
      </c>
      <c r="L163" s="7">
        <v>31.46</v>
      </c>
      <c r="M163" s="7">
        <v>393</v>
      </c>
      <c r="N163" s="7" t="e">
        <f>[1]!Tabelle1321011121516[[#This Row],[Anzahl Frames]]/[1]!Tabelle1321011121516[[#This Row],[Aufnahmezeit '[s']]]</f>
        <v>#VALUE!</v>
      </c>
      <c r="O163" s="6" t="e">
        <f>1/[1]!Tabelle1321011121516[[#This Row],[Mean fps ]]</f>
        <v>#VALUE!</v>
      </c>
      <c r="P163" s="7">
        <v>40</v>
      </c>
      <c r="Q163" s="3"/>
      <c r="R163" s="11"/>
      <c r="S163" s="7">
        <v>1.139</v>
      </c>
      <c r="T163" s="7">
        <v>0.90700000000000003</v>
      </c>
      <c r="U163" s="7">
        <v>1.649</v>
      </c>
      <c r="V163" s="7"/>
      <c r="W163" s="7"/>
      <c r="X163" s="7"/>
      <c r="Y163" s="7"/>
      <c r="Z163" s="7"/>
      <c r="AA163" s="7"/>
      <c r="AB163" s="7"/>
      <c r="AC163" s="7" t="e">
        <f>Tabelle1311[[#This Row],[SD 1]]/Tabelle1311[[#This Row],[Mean Visc. 1 '[mPas']]]</f>
        <v>#DIV/0!</v>
      </c>
      <c r="AD163" s="7" t="e">
        <f>[1]!Tabelle132101112[[#This Row],[SD 2]]/[1]!Tabelle132101112[[#This Row],[Mean Visc. 2 '[mPas']2]]</f>
        <v>#VALUE!</v>
      </c>
      <c r="AE163" s="7" t="e">
        <f>[1]!Tabelle132101112[[#This Row],[SD 3]]/[1]!Tabelle132101112[[#This Row],[Mean Visc. 3 '[mPas']3]]</f>
        <v>#VALUE!</v>
      </c>
    </row>
    <row r="164" spans="1:31" x14ac:dyDescent="0.3">
      <c r="A164">
        <v>163</v>
      </c>
      <c r="B164" s="4"/>
      <c r="C164" s="5"/>
      <c r="D164" s="7">
        <v>17</v>
      </c>
      <c r="E164" t="s">
        <v>169</v>
      </c>
      <c r="F164" t="s">
        <v>192</v>
      </c>
      <c r="G164" s="23"/>
      <c r="H164" s="11" t="s">
        <v>198</v>
      </c>
      <c r="I164" s="9" t="s">
        <v>12</v>
      </c>
      <c r="J164" s="7">
        <v>25.2</v>
      </c>
      <c r="K164" s="7">
        <v>10</v>
      </c>
      <c r="L164" s="7">
        <v>32.4</v>
      </c>
      <c r="M164" s="7">
        <v>406</v>
      </c>
      <c r="N164" s="7" t="e">
        <f>[1]!Tabelle1321011121516[[#This Row],[Anzahl Frames]]/[1]!Tabelle1321011121516[[#This Row],[Aufnahmezeit '[s']]]</f>
        <v>#VALUE!</v>
      </c>
      <c r="O164" s="6" t="e">
        <f>1/[1]!Tabelle1321011121516[[#This Row],[Mean fps ]]</f>
        <v>#VALUE!</v>
      </c>
      <c r="P164" s="7">
        <v>40</v>
      </c>
      <c r="Q164" s="3"/>
      <c r="R164" s="11"/>
      <c r="S164" s="7">
        <v>1.1000000000000001</v>
      </c>
      <c r="T164" s="7">
        <v>0.91100000000000003</v>
      </c>
      <c r="U164" s="7">
        <v>1.5840000000000001</v>
      </c>
      <c r="V164" s="7"/>
      <c r="W164" s="7"/>
      <c r="X164" s="7"/>
      <c r="Y164" s="7"/>
      <c r="Z164" s="7"/>
      <c r="AA164" s="7"/>
      <c r="AB164" s="7"/>
      <c r="AC164" s="7" t="e">
        <f>Tabelle1311[[#This Row],[SD 1]]/Tabelle1311[[#This Row],[Mean Visc. 1 '[mPas']]]</f>
        <v>#DIV/0!</v>
      </c>
      <c r="AD164" s="7" t="e">
        <f>[1]!Tabelle132101112[[#This Row],[SD 2]]/[1]!Tabelle132101112[[#This Row],[Mean Visc. 2 '[mPas']2]]</f>
        <v>#VALUE!</v>
      </c>
      <c r="AE164" s="7" t="e">
        <f>[1]!Tabelle132101112[[#This Row],[SD 3]]/[1]!Tabelle132101112[[#This Row],[Mean Visc. 3 '[mPas']3]]</f>
        <v>#VALUE!</v>
      </c>
    </row>
    <row r="165" spans="1:31" x14ac:dyDescent="0.3">
      <c r="A165">
        <v>164</v>
      </c>
      <c r="B165" s="4"/>
      <c r="C165" s="5"/>
      <c r="D165" s="7">
        <v>17</v>
      </c>
      <c r="E165" t="s">
        <v>169</v>
      </c>
      <c r="F165" t="s">
        <v>192</v>
      </c>
      <c r="G165" s="23"/>
      <c r="H165" s="11" t="s">
        <v>198</v>
      </c>
      <c r="I165" s="9" t="s">
        <v>12</v>
      </c>
      <c r="J165" s="7">
        <v>25.3</v>
      </c>
      <c r="K165" s="7">
        <v>10</v>
      </c>
      <c r="L165" s="7">
        <v>30.64</v>
      </c>
      <c r="M165" s="7">
        <v>384</v>
      </c>
      <c r="N165" s="7" t="e">
        <f>[1]!Tabelle1321011121516[[#This Row],[Anzahl Frames]]/[1]!Tabelle1321011121516[[#This Row],[Aufnahmezeit '[s']]]</f>
        <v>#VALUE!</v>
      </c>
      <c r="O165" s="6" t="e">
        <f>1/[1]!Tabelle1321011121516[[#This Row],[Mean fps ]]</f>
        <v>#VALUE!</v>
      </c>
      <c r="P165" s="7">
        <v>40</v>
      </c>
      <c r="Q165" s="3"/>
      <c r="R165" s="11"/>
      <c r="S165" s="7">
        <v>1.171</v>
      </c>
      <c r="T165" s="7">
        <v>0.88600000000000001</v>
      </c>
      <c r="U165" s="7">
        <v>1.5429999999999999</v>
      </c>
      <c r="V165" s="7"/>
      <c r="W165" s="7"/>
      <c r="X165" s="7"/>
      <c r="Y165" s="7"/>
      <c r="Z165" s="7"/>
      <c r="AA165" s="7"/>
      <c r="AB165" s="7"/>
      <c r="AC165" s="7" t="e">
        <f>Tabelle1311[[#This Row],[SD 1]]/Tabelle1311[[#This Row],[Mean Visc. 1 '[mPas']]]</f>
        <v>#DIV/0!</v>
      </c>
      <c r="AD165" s="7" t="e">
        <f>[1]!Tabelle132101112[[#This Row],[SD 2]]/[1]!Tabelle132101112[[#This Row],[Mean Visc. 2 '[mPas']2]]</f>
        <v>#VALUE!</v>
      </c>
      <c r="AE165" s="7" t="e">
        <f>[1]!Tabelle132101112[[#This Row],[SD 3]]/[1]!Tabelle132101112[[#This Row],[Mean Visc. 3 '[mPas']3]]</f>
        <v>#VALUE!</v>
      </c>
    </row>
    <row r="166" spans="1:31" ht="15" thickBot="1" x14ac:dyDescent="0.35">
      <c r="A166">
        <v>165</v>
      </c>
      <c r="B166" s="4"/>
      <c r="C166" s="16"/>
      <c r="D166" s="7">
        <v>17</v>
      </c>
      <c r="E166" t="s">
        <v>169</v>
      </c>
      <c r="F166" t="s">
        <v>192</v>
      </c>
      <c r="G166" s="24"/>
      <c r="H166" s="21" t="s">
        <v>198</v>
      </c>
      <c r="I166" s="9" t="s">
        <v>12</v>
      </c>
      <c r="J166" s="17">
        <v>25.3</v>
      </c>
      <c r="K166" s="17">
        <v>10</v>
      </c>
      <c r="L166" s="17">
        <v>30.8</v>
      </c>
      <c r="M166" s="17">
        <v>385</v>
      </c>
      <c r="N166" s="17" t="e">
        <f>[1]!Tabelle1321011121516[[#This Row],[Anzahl Frames]]/[1]!Tabelle1321011121516[[#This Row],[Aufnahmezeit '[s']]]</f>
        <v>#VALUE!</v>
      </c>
      <c r="O166" s="25" t="e">
        <f>1/[1]!Tabelle1321011121516[[#This Row],[Mean fps ]]</f>
        <v>#VALUE!</v>
      </c>
      <c r="P166" s="17">
        <v>40</v>
      </c>
      <c r="Q166" s="20"/>
      <c r="R166" s="21"/>
      <c r="S166" s="17">
        <v>1.22</v>
      </c>
      <c r="T166" s="17">
        <v>1.024</v>
      </c>
      <c r="U166" s="17">
        <v>1.6679999999999999</v>
      </c>
      <c r="V166" s="17"/>
      <c r="W166" s="17"/>
      <c r="X166" s="17"/>
      <c r="Y166" s="17"/>
      <c r="Z166" s="17"/>
      <c r="AA166" s="17"/>
      <c r="AB166" s="17"/>
      <c r="AC166" s="17" t="e">
        <f>Tabelle1311[[#This Row],[SD 1]]/Tabelle1311[[#This Row],[Mean Visc. 1 '[mPas']]]</f>
        <v>#DIV/0!</v>
      </c>
      <c r="AD166" s="17" t="e">
        <f>[1]!Tabelle132101112[[#This Row],[SD 2]]/[1]!Tabelle132101112[[#This Row],[Mean Visc. 2 '[mPas']2]]</f>
        <v>#VALUE!</v>
      </c>
      <c r="AE166" s="17" t="e">
        <f>[1]!Tabelle132101112[[#This Row],[SD 3]]/[1]!Tabelle132101112[[#This Row],[Mean Visc. 3 '[mPas']3]]</f>
        <v>#VALUE!</v>
      </c>
    </row>
    <row r="167" spans="1:31" ht="15" thickTop="1" x14ac:dyDescent="0.3">
      <c r="A167">
        <v>166</v>
      </c>
      <c r="B167" s="4"/>
      <c r="C167" s="5"/>
      <c r="D167" s="7">
        <v>17</v>
      </c>
      <c r="E167" t="s">
        <v>169</v>
      </c>
      <c r="F167" t="s">
        <v>192</v>
      </c>
      <c r="G167" s="23"/>
      <c r="H167" s="11" t="s">
        <v>198</v>
      </c>
      <c r="I167" s="9" t="s">
        <v>12</v>
      </c>
      <c r="J167" s="7">
        <v>25.3</v>
      </c>
      <c r="K167" s="7">
        <v>10</v>
      </c>
      <c r="L167" s="7">
        <v>30.64</v>
      </c>
      <c r="M167" s="7">
        <v>383</v>
      </c>
      <c r="N167" s="7" t="e">
        <f>[1]!Tabelle1321011121516[[#This Row],[Anzahl Frames]]/[1]!Tabelle1321011121516[[#This Row],[Aufnahmezeit '[s']]]</f>
        <v>#VALUE!</v>
      </c>
      <c r="O167" s="6" t="e">
        <f>1/[1]!Tabelle1321011121516[[#This Row],[Mean fps ]]</f>
        <v>#VALUE!</v>
      </c>
      <c r="P167" s="7">
        <v>40</v>
      </c>
      <c r="Q167" s="3"/>
      <c r="R167" s="11"/>
      <c r="S167" s="7">
        <v>1.137</v>
      </c>
      <c r="T167" s="7">
        <v>0.86499999999999999</v>
      </c>
      <c r="U167" s="7">
        <v>1.5880000000000001</v>
      </c>
      <c r="V167" s="7"/>
      <c r="W167" s="7"/>
      <c r="X167" s="7"/>
      <c r="Y167" s="7"/>
      <c r="Z167" s="7"/>
      <c r="AA167" s="7"/>
      <c r="AB167" s="7"/>
      <c r="AC167" s="7" t="e">
        <f>Tabelle1311[[#This Row],[SD 1]]/Tabelle1311[[#This Row],[Mean Visc. 1 '[mPas']]]</f>
        <v>#DIV/0!</v>
      </c>
      <c r="AD167" s="7" t="e">
        <f>[1]!Tabelle132101112[[#This Row],[SD 2]]/[1]!Tabelle132101112[[#This Row],[Mean Visc. 2 '[mPas']2]]</f>
        <v>#VALUE!</v>
      </c>
      <c r="AE167" s="7" t="e">
        <f>[1]!Tabelle132101112[[#This Row],[SD 3]]/[1]!Tabelle132101112[[#This Row],[Mean Visc. 3 '[mPas']3]]</f>
        <v>#VALUE!</v>
      </c>
    </row>
    <row r="168" spans="1:31" x14ac:dyDescent="0.3">
      <c r="A168">
        <v>167</v>
      </c>
      <c r="B168" s="4"/>
      <c r="C168" s="5"/>
      <c r="D168" s="7">
        <v>17</v>
      </c>
      <c r="E168" t="s">
        <v>169</v>
      </c>
      <c r="F168" t="s">
        <v>192</v>
      </c>
      <c r="G168" s="23"/>
      <c r="H168" s="11" t="s">
        <v>198</v>
      </c>
      <c r="I168" s="9" t="s">
        <v>12</v>
      </c>
      <c r="J168" s="7">
        <v>25.4</v>
      </c>
      <c r="K168" s="7">
        <v>10</v>
      </c>
      <c r="L168" s="7">
        <v>30.4</v>
      </c>
      <c r="M168" s="7">
        <v>380</v>
      </c>
      <c r="N168" s="7" t="e">
        <f>[1]!Tabelle1321011121516[[#This Row],[Anzahl Frames]]/[1]!Tabelle1321011121516[[#This Row],[Aufnahmezeit '[s']]]</f>
        <v>#VALUE!</v>
      </c>
      <c r="O168" s="6" t="e">
        <f>1/[1]!Tabelle1321011121516[[#This Row],[Mean fps ]]</f>
        <v>#VALUE!</v>
      </c>
      <c r="P168" s="7">
        <v>40</v>
      </c>
      <c r="Q168" s="3"/>
      <c r="R168" s="11"/>
      <c r="S168" s="7">
        <v>1.1679999999999999</v>
      </c>
      <c r="T168" s="7">
        <v>0.95499999999999996</v>
      </c>
      <c r="U168" s="7">
        <v>1.621</v>
      </c>
      <c r="V168" s="7"/>
      <c r="W168" s="7"/>
      <c r="X168" s="7"/>
      <c r="Y168" s="7"/>
      <c r="Z168" s="7"/>
      <c r="AA168" s="7"/>
      <c r="AB168" s="7"/>
      <c r="AC168" s="7" t="e">
        <f>Tabelle1311[[#This Row],[SD 1]]/Tabelle1311[[#This Row],[Mean Visc. 1 '[mPas']]]</f>
        <v>#DIV/0!</v>
      </c>
      <c r="AD168" s="7" t="e">
        <f>[1]!Tabelle132101112[[#This Row],[SD 2]]/[1]!Tabelle132101112[[#This Row],[Mean Visc. 2 '[mPas']2]]</f>
        <v>#VALUE!</v>
      </c>
      <c r="AE168" s="7" t="e">
        <f>[1]!Tabelle132101112[[#This Row],[SD 3]]/[1]!Tabelle132101112[[#This Row],[Mean Visc. 3 '[mPas']3]]</f>
        <v>#VALUE!</v>
      </c>
    </row>
    <row r="169" spans="1:31" x14ac:dyDescent="0.3">
      <c r="A169">
        <v>168</v>
      </c>
      <c r="B169" s="4"/>
      <c r="C169" s="5"/>
      <c r="D169" s="7">
        <v>17</v>
      </c>
      <c r="E169" t="s">
        <v>169</v>
      </c>
      <c r="F169" t="s">
        <v>192</v>
      </c>
      <c r="G169" s="23"/>
      <c r="H169" s="11" t="s">
        <v>198</v>
      </c>
      <c r="I169" s="9" t="s">
        <v>12</v>
      </c>
      <c r="J169" s="7">
        <v>25.4</v>
      </c>
      <c r="K169" s="7">
        <v>10</v>
      </c>
      <c r="L169" s="7">
        <v>30.56</v>
      </c>
      <c r="M169" s="7">
        <v>383</v>
      </c>
      <c r="N169" s="7" t="e">
        <f>[1]!Tabelle1321011121516[[#This Row],[Anzahl Frames]]/[1]!Tabelle1321011121516[[#This Row],[Aufnahmezeit '[s']]]</f>
        <v>#VALUE!</v>
      </c>
      <c r="O169" s="6" t="e">
        <f>1/[1]!Tabelle1321011121516[[#This Row],[Mean fps ]]</f>
        <v>#VALUE!</v>
      </c>
      <c r="P169" s="7">
        <v>40</v>
      </c>
      <c r="Q169" s="3"/>
      <c r="R169" s="11"/>
      <c r="S169" s="7">
        <v>1.1579999999999999</v>
      </c>
      <c r="T169" s="7">
        <v>0.97099999999999997</v>
      </c>
      <c r="U169" s="7">
        <v>1.629</v>
      </c>
      <c r="V169" s="7"/>
      <c r="W169" s="7"/>
      <c r="X169" s="7"/>
      <c r="Y169" s="7"/>
      <c r="Z169" s="7"/>
      <c r="AA169" s="7"/>
      <c r="AB169" s="7"/>
      <c r="AC169" s="7" t="e">
        <f>Tabelle1311[[#This Row],[SD 1]]/Tabelle1311[[#This Row],[Mean Visc. 1 '[mPas']]]</f>
        <v>#DIV/0!</v>
      </c>
      <c r="AD169" s="7" t="e">
        <f>[1]!Tabelle132101112[[#This Row],[SD 2]]/[1]!Tabelle132101112[[#This Row],[Mean Visc. 2 '[mPas']2]]</f>
        <v>#VALUE!</v>
      </c>
      <c r="AE169" s="7" t="e">
        <f>[1]!Tabelle132101112[[#This Row],[SD 3]]/[1]!Tabelle132101112[[#This Row],[Mean Visc. 3 '[mPas']3]]</f>
        <v>#VALUE!</v>
      </c>
    </row>
    <row r="170" spans="1:31" x14ac:dyDescent="0.3">
      <c r="A170">
        <v>169</v>
      </c>
      <c r="B170" s="4"/>
      <c r="C170" s="5"/>
      <c r="D170" s="7">
        <v>17</v>
      </c>
      <c r="E170" t="s">
        <v>169</v>
      </c>
      <c r="F170" t="s">
        <v>192</v>
      </c>
      <c r="G170" s="23"/>
      <c r="H170" s="11" t="s">
        <v>198</v>
      </c>
      <c r="I170" s="9" t="s">
        <v>12</v>
      </c>
      <c r="J170" s="7">
        <v>25.4</v>
      </c>
      <c r="K170" s="7">
        <v>10</v>
      </c>
      <c r="L170" s="7">
        <v>30.72</v>
      </c>
      <c r="M170" s="7">
        <v>385</v>
      </c>
      <c r="N170" s="7" t="e">
        <f>[1]!Tabelle1321011121516[[#This Row],[Anzahl Frames]]/[1]!Tabelle1321011121516[[#This Row],[Aufnahmezeit '[s']]]</f>
        <v>#VALUE!</v>
      </c>
      <c r="O170" s="6" t="e">
        <f>1/[1]!Tabelle1321011121516[[#This Row],[Mean fps ]]</f>
        <v>#VALUE!</v>
      </c>
      <c r="P170" s="7">
        <v>40</v>
      </c>
      <c r="Q170" s="3"/>
      <c r="R170" s="11"/>
      <c r="S170" s="7">
        <v>1.1970000000000001</v>
      </c>
      <c r="T170" s="7">
        <v>0.99099999999999999</v>
      </c>
      <c r="U170" s="7">
        <v>1.6020000000000001</v>
      </c>
      <c r="V170" s="7"/>
      <c r="W170" s="7"/>
      <c r="X170" s="7"/>
      <c r="Y170" s="7"/>
      <c r="Z170" s="7"/>
      <c r="AA170" s="7"/>
      <c r="AB170" s="7"/>
      <c r="AC170" s="7" t="e">
        <f>Tabelle1311[[#This Row],[SD 1]]/Tabelle1311[[#This Row],[Mean Visc. 1 '[mPas']]]</f>
        <v>#DIV/0!</v>
      </c>
      <c r="AD170" s="7" t="e">
        <f>[1]!Tabelle132101112[[#This Row],[SD 2]]/[1]!Tabelle132101112[[#This Row],[Mean Visc. 2 '[mPas']2]]</f>
        <v>#VALUE!</v>
      </c>
      <c r="AE170" s="7" t="e">
        <f>[1]!Tabelle132101112[[#This Row],[SD 3]]/[1]!Tabelle132101112[[#This Row],[Mean Visc. 3 '[mPas']3]]</f>
        <v>#VALUE!</v>
      </c>
    </row>
    <row r="171" spans="1:31" x14ac:dyDescent="0.3">
      <c r="A171">
        <v>170</v>
      </c>
      <c r="B171" s="4"/>
      <c r="C171" s="5"/>
      <c r="D171" s="7">
        <v>17</v>
      </c>
      <c r="E171" t="s">
        <v>169</v>
      </c>
      <c r="F171" t="s">
        <v>192</v>
      </c>
      <c r="G171" s="23"/>
      <c r="H171" s="11" t="s">
        <v>198</v>
      </c>
      <c r="I171" s="9" t="s">
        <v>12</v>
      </c>
      <c r="J171" s="7">
        <v>25.4</v>
      </c>
      <c r="K171" s="7">
        <v>10</v>
      </c>
      <c r="L171" s="7">
        <v>31.28</v>
      </c>
      <c r="M171" s="7">
        <v>391</v>
      </c>
      <c r="N171" s="7" t="e">
        <f>[1]!Tabelle1321011121516[[#This Row],[Anzahl Frames]]/[1]!Tabelle1321011121516[[#This Row],[Aufnahmezeit '[s']]]</f>
        <v>#VALUE!</v>
      </c>
      <c r="O171" s="6" t="e">
        <f>1/[1]!Tabelle1321011121516[[#This Row],[Mean fps ]]</f>
        <v>#VALUE!</v>
      </c>
      <c r="P171" s="7">
        <v>40</v>
      </c>
      <c r="Q171" s="3"/>
      <c r="R171" s="11"/>
      <c r="S171" s="7">
        <v>1.17</v>
      </c>
      <c r="T171" s="7">
        <v>0.98399999999999999</v>
      </c>
      <c r="U171" s="7">
        <v>1.6379999999999999</v>
      </c>
      <c r="V171" s="7"/>
      <c r="W171" s="7">
        <f>SUM(S162:S171)/10</f>
        <v>1.1627999999999998</v>
      </c>
      <c r="X171" s="7">
        <f t="shared" ref="X171:Y171" si="16">SUM(T162:T171)/10</f>
        <v>0.94429999999999992</v>
      </c>
      <c r="Y171" s="7">
        <f t="shared" si="16"/>
        <v>1.6133000000000002</v>
      </c>
      <c r="Z171" s="7">
        <f>_xlfn.STDEV.S(S162:S171)</f>
        <v>3.3021205308104644E-2</v>
      </c>
      <c r="AA171" s="7">
        <f>_xlfn.STDEV.S(T162:T171)</f>
        <v>5.0712807937333633E-2</v>
      </c>
      <c r="AB171" s="7">
        <f>_xlfn.STDEV.S(U162:U171)</f>
        <v>3.6141850164778951E-2</v>
      </c>
      <c r="AC171" s="7">
        <f>Tabelle1311[[#This Row],[SD 1]]/Tabelle1311[[#This Row],[Mean Visc. 1 '[mPas']]]</f>
        <v>2.8398009380894949E-2</v>
      </c>
      <c r="AD171" s="7" t="e">
        <f>[1]!Tabelle132101112[[#This Row],[SD 2]]/[1]!Tabelle132101112[[#This Row],[Mean Visc. 2 '[mPas']2]]</f>
        <v>#VALUE!</v>
      </c>
      <c r="AE171" s="7" t="e">
        <f>[1]!Tabelle132101112[[#This Row],[SD 3]]/[1]!Tabelle132101112[[#This Row],[Mean Visc. 3 '[mPas']3]]</f>
        <v>#VALUE!</v>
      </c>
    </row>
    <row r="172" spans="1:31" x14ac:dyDescent="0.3">
      <c r="A172">
        <v>171</v>
      </c>
      <c r="B172" s="4"/>
      <c r="C172" s="5"/>
      <c r="D172" s="7">
        <v>18</v>
      </c>
      <c r="E172" t="s">
        <v>169</v>
      </c>
      <c r="F172" t="s">
        <v>197</v>
      </c>
      <c r="G172" s="23"/>
      <c r="H172" s="11" t="s">
        <v>198</v>
      </c>
      <c r="I172" s="9" t="s">
        <v>12</v>
      </c>
      <c r="J172" s="7">
        <v>22.9</v>
      </c>
      <c r="K172" s="7">
        <v>26</v>
      </c>
      <c r="L172" s="7">
        <v>33.53</v>
      </c>
      <c r="M172" s="7">
        <v>419</v>
      </c>
      <c r="N172" s="7" t="e">
        <f>[1]!Tabelle1321011121516[[#This Row],[Anzahl Frames]]/[1]!Tabelle1321011121516[[#This Row],[Aufnahmezeit '[s']]]</f>
        <v>#VALUE!</v>
      </c>
      <c r="O172" s="6" t="e">
        <f>1/[1]!Tabelle1321011121516[[#This Row],[Mean fps ]]</f>
        <v>#VALUE!</v>
      </c>
      <c r="P172" s="7">
        <v>40</v>
      </c>
      <c r="Q172" s="3"/>
      <c r="R172" s="11"/>
      <c r="S172" s="7">
        <v>1.371</v>
      </c>
      <c r="T172" s="7">
        <v>1.1719999999999999</v>
      </c>
      <c r="U172" s="7">
        <v>1.9</v>
      </c>
      <c r="V172" s="7"/>
      <c r="W172" s="7"/>
      <c r="X172" s="7"/>
      <c r="Y172" s="7"/>
      <c r="Z172" s="7"/>
      <c r="AA172" s="7"/>
      <c r="AB172" s="7"/>
      <c r="AC172" s="7" t="e">
        <f>Tabelle1311[[#This Row],[SD 1]]/Tabelle1311[[#This Row],[Mean Visc. 1 '[mPas']]]</f>
        <v>#DIV/0!</v>
      </c>
      <c r="AD172" s="7" t="e">
        <f>[1]!Tabelle132101112[[#This Row],[SD 2]]/[1]!Tabelle132101112[[#This Row],[Mean Visc. 2 '[mPas']2]]</f>
        <v>#VALUE!</v>
      </c>
      <c r="AE172" s="7" t="e">
        <f>[1]!Tabelle132101112[[#This Row],[SD 3]]/[1]!Tabelle132101112[[#This Row],[Mean Visc. 3 '[mPas']3]]</f>
        <v>#VALUE!</v>
      </c>
    </row>
    <row r="173" spans="1:31" x14ac:dyDescent="0.3">
      <c r="A173">
        <v>172</v>
      </c>
      <c r="B173" s="4"/>
      <c r="C173" s="5"/>
      <c r="D173" s="7">
        <v>18</v>
      </c>
      <c r="E173" t="s">
        <v>169</v>
      </c>
      <c r="F173" t="s">
        <v>197</v>
      </c>
      <c r="G173" s="23"/>
      <c r="H173" s="11" t="s">
        <v>198</v>
      </c>
      <c r="I173" s="9" t="s">
        <v>12</v>
      </c>
      <c r="J173" s="7">
        <v>23</v>
      </c>
      <c r="K173" s="7">
        <v>26</v>
      </c>
      <c r="L173" s="7">
        <v>32.880000000000003</v>
      </c>
      <c r="M173" s="7">
        <v>412</v>
      </c>
      <c r="N173" s="7" t="e">
        <f>[1]!Tabelle1321011121516[[#This Row],[Anzahl Frames]]/[1]!Tabelle1321011121516[[#This Row],[Aufnahmezeit '[s']]]</f>
        <v>#VALUE!</v>
      </c>
      <c r="O173" s="6" t="e">
        <f>1/[1]!Tabelle1321011121516[[#This Row],[Mean fps ]]</f>
        <v>#VALUE!</v>
      </c>
      <c r="P173" s="7">
        <v>40</v>
      </c>
      <c r="Q173" s="3"/>
      <c r="R173" s="11"/>
      <c r="S173" s="7">
        <v>1.2909999999999999</v>
      </c>
      <c r="T173" s="7">
        <v>1.089</v>
      </c>
      <c r="U173" s="7">
        <v>1.819</v>
      </c>
      <c r="V173" s="7"/>
      <c r="W173" s="7"/>
      <c r="X173" s="7"/>
      <c r="Y173" s="7"/>
      <c r="Z173" s="7"/>
      <c r="AA173" s="7"/>
      <c r="AB173" s="7"/>
      <c r="AC173" s="7" t="e">
        <f>Tabelle1311[[#This Row],[SD 1]]/Tabelle1311[[#This Row],[Mean Visc. 1 '[mPas']]]</f>
        <v>#DIV/0!</v>
      </c>
      <c r="AD173" s="7" t="e">
        <f>[1]!Tabelle132101112[[#This Row],[SD 2]]/[1]!Tabelle132101112[[#This Row],[Mean Visc. 2 '[mPas']2]]</f>
        <v>#VALUE!</v>
      </c>
      <c r="AE173" s="7" t="e">
        <f>[1]!Tabelle132101112[[#This Row],[SD 3]]/[1]!Tabelle132101112[[#This Row],[Mean Visc. 3 '[mPas']3]]</f>
        <v>#VALUE!</v>
      </c>
    </row>
    <row r="174" spans="1:31" x14ac:dyDescent="0.3">
      <c r="A174">
        <v>173</v>
      </c>
      <c r="B174" s="4"/>
      <c r="C174" s="5"/>
      <c r="D174" s="7">
        <v>18</v>
      </c>
      <c r="E174" t="s">
        <v>169</v>
      </c>
      <c r="F174" t="s">
        <v>197</v>
      </c>
      <c r="G174" s="23"/>
      <c r="H174" s="11" t="s">
        <v>198</v>
      </c>
      <c r="I174" s="9" t="s">
        <v>12</v>
      </c>
      <c r="J174" s="7">
        <v>23.1</v>
      </c>
      <c r="K174" s="7">
        <v>26</v>
      </c>
      <c r="L174" s="7">
        <v>30.4</v>
      </c>
      <c r="M174" s="7">
        <v>380</v>
      </c>
      <c r="N174" s="7" t="e">
        <f>[1]!Tabelle1321011121516[[#This Row],[Anzahl Frames]]/[1]!Tabelle1321011121516[[#This Row],[Aufnahmezeit '[s']]]</f>
        <v>#VALUE!</v>
      </c>
      <c r="O174" s="6" t="e">
        <f>1/[1]!Tabelle1321011121516[[#This Row],[Mean fps ]]</f>
        <v>#VALUE!</v>
      </c>
      <c r="P174" s="7">
        <v>40</v>
      </c>
      <c r="Q174" s="3"/>
      <c r="R174" s="11"/>
      <c r="S174" s="7">
        <v>1.3260000000000001</v>
      </c>
      <c r="T174" s="7">
        <v>1.139</v>
      </c>
      <c r="U174" s="7">
        <v>1.8540000000000001</v>
      </c>
      <c r="V174" s="7"/>
      <c r="W174" s="7"/>
      <c r="X174" s="7"/>
      <c r="Y174" s="7"/>
      <c r="Z174" s="7"/>
      <c r="AA174" s="7"/>
      <c r="AB174" s="7"/>
      <c r="AC174" s="7" t="e">
        <f>Tabelle1311[[#This Row],[SD 1]]/Tabelle1311[[#This Row],[Mean Visc. 1 '[mPas']]]</f>
        <v>#DIV/0!</v>
      </c>
      <c r="AD174" s="7" t="e">
        <f>[1]!Tabelle132101112[[#This Row],[SD 2]]/[1]!Tabelle132101112[[#This Row],[Mean Visc. 2 '[mPas']2]]</f>
        <v>#VALUE!</v>
      </c>
      <c r="AE174" s="7" t="e">
        <f>[1]!Tabelle132101112[[#This Row],[SD 3]]/[1]!Tabelle132101112[[#This Row],[Mean Visc. 3 '[mPas']3]]</f>
        <v>#VALUE!</v>
      </c>
    </row>
    <row r="175" spans="1:31" x14ac:dyDescent="0.3">
      <c r="A175">
        <v>174</v>
      </c>
      <c r="B175" s="4"/>
      <c r="C175" s="5"/>
      <c r="D175" s="7">
        <v>18</v>
      </c>
      <c r="E175" t="s">
        <v>169</v>
      </c>
      <c r="F175" t="s">
        <v>197</v>
      </c>
      <c r="G175" s="23"/>
      <c r="H175" s="11" t="s">
        <v>198</v>
      </c>
      <c r="I175" s="9" t="s">
        <v>12</v>
      </c>
      <c r="J175" s="7">
        <v>23.2</v>
      </c>
      <c r="K175" s="7">
        <v>26</v>
      </c>
      <c r="L175" s="7">
        <v>30.4</v>
      </c>
      <c r="M175" s="7">
        <v>380</v>
      </c>
      <c r="N175" s="7" t="e">
        <f>[1]!Tabelle1321011121516[[#This Row],[Anzahl Frames]]/[1]!Tabelle1321011121516[[#This Row],[Aufnahmezeit '[s']]]</f>
        <v>#VALUE!</v>
      </c>
      <c r="O175" s="6" t="e">
        <f>1/[1]!Tabelle1321011121516[[#This Row],[Mean fps ]]</f>
        <v>#VALUE!</v>
      </c>
      <c r="P175" s="7">
        <v>40</v>
      </c>
      <c r="Q175" s="3"/>
      <c r="R175" s="11"/>
      <c r="S175" s="7">
        <v>1.2889999999999999</v>
      </c>
      <c r="T175" s="7">
        <v>1.129</v>
      </c>
      <c r="U175" s="7">
        <v>1.8660000000000001</v>
      </c>
      <c r="V175" s="7"/>
      <c r="W175" s="7"/>
      <c r="X175" s="7"/>
      <c r="Y175" s="7"/>
      <c r="Z175" s="7"/>
      <c r="AA175" s="7"/>
      <c r="AB175" s="7"/>
      <c r="AC175" s="7" t="e">
        <f>Tabelle1311[[#This Row],[SD 1]]/Tabelle1311[[#This Row],[Mean Visc. 1 '[mPas']]]</f>
        <v>#DIV/0!</v>
      </c>
      <c r="AD175" s="7" t="e">
        <f>[1]!Tabelle132101112[[#This Row],[SD 2]]/[1]!Tabelle132101112[[#This Row],[Mean Visc. 2 '[mPas']2]]</f>
        <v>#VALUE!</v>
      </c>
      <c r="AE175" s="7" t="e">
        <f>[1]!Tabelle132101112[[#This Row],[SD 3]]/[1]!Tabelle132101112[[#This Row],[Mean Visc. 3 '[mPas']3]]</f>
        <v>#VALUE!</v>
      </c>
    </row>
    <row r="176" spans="1:31" ht="15" thickBot="1" x14ac:dyDescent="0.35">
      <c r="A176">
        <v>175</v>
      </c>
      <c r="B176" s="15"/>
      <c r="C176" s="16"/>
      <c r="D176" s="7">
        <v>18</v>
      </c>
      <c r="E176" t="s">
        <v>169</v>
      </c>
      <c r="F176" t="s">
        <v>197</v>
      </c>
      <c r="G176" s="24"/>
      <c r="H176" s="21" t="s">
        <v>198</v>
      </c>
      <c r="I176" s="9" t="s">
        <v>12</v>
      </c>
      <c r="J176" s="17">
        <v>23.3</v>
      </c>
      <c r="K176" s="17">
        <v>26</v>
      </c>
      <c r="L176" s="17">
        <v>31.28</v>
      </c>
      <c r="M176" s="17">
        <v>392</v>
      </c>
      <c r="N176" s="17" t="e">
        <f>[1]!Tabelle1321011121516[[#This Row],[Anzahl Frames]]/[1]!Tabelle1321011121516[[#This Row],[Aufnahmezeit '[s']]]</f>
        <v>#VALUE!</v>
      </c>
      <c r="O176" s="25" t="e">
        <f>1/[1]!Tabelle1321011121516[[#This Row],[Mean fps ]]</f>
        <v>#VALUE!</v>
      </c>
      <c r="P176" s="17">
        <v>40</v>
      </c>
      <c r="Q176" s="20"/>
      <c r="R176" s="21"/>
      <c r="S176" s="17">
        <v>1.466</v>
      </c>
      <c r="T176" s="17">
        <v>1.1779999999999999</v>
      </c>
      <c r="U176" s="17">
        <v>1.87</v>
      </c>
      <c r="V176" s="17"/>
      <c r="W176" s="17"/>
      <c r="X176" s="17"/>
      <c r="Y176" s="17"/>
      <c r="Z176" s="17"/>
      <c r="AA176" s="17"/>
      <c r="AB176" s="17"/>
      <c r="AC176" s="17" t="e">
        <f>Tabelle1311[[#This Row],[SD 1]]/Tabelle1311[[#This Row],[Mean Visc. 1 '[mPas']]]</f>
        <v>#DIV/0!</v>
      </c>
      <c r="AD176" s="17" t="e">
        <f>[1]!Tabelle132101112[[#This Row],[SD 2]]/[1]!Tabelle132101112[[#This Row],[Mean Visc. 2 '[mPas']2]]</f>
        <v>#VALUE!</v>
      </c>
      <c r="AE176" s="17" t="e">
        <f>[1]!Tabelle132101112[[#This Row],[SD 3]]/[1]!Tabelle132101112[[#This Row],[Mean Visc. 3 '[mPas']3]]</f>
        <v>#VALUE!</v>
      </c>
    </row>
    <row r="177" spans="1:31" ht="15" thickTop="1" x14ac:dyDescent="0.3">
      <c r="A177">
        <v>176</v>
      </c>
      <c r="B177" s="4"/>
      <c r="C177" s="5"/>
      <c r="D177" s="7">
        <v>18</v>
      </c>
      <c r="E177" t="s">
        <v>169</v>
      </c>
      <c r="F177" t="s">
        <v>197</v>
      </c>
      <c r="G177" s="23"/>
      <c r="H177" s="11" t="s">
        <v>198</v>
      </c>
      <c r="I177" s="9" t="s">
        <v>12</v>
      </c>
      <c r="J177" s="7">
        <v>23.4</v>
      </c>
      <c r="K177" s="7">
        <v>26</v>
      </c>
      <c r="L177" s="7">
        <v>31.36</v>
      </c>
      <c r="M177" s="7">
        <v>393</v>
      </c>
      <c r="N177" s="7" t="e">
        <f>[1]!Tabelle1321011121516[[#This Row],[Anzahl Frames]]/[1]!Tabelle1321011121516[[#This Row],[Aufnahmezeit '[s']]]</f>
        <v>#VALUE!</v>
      </c>
      <c r="O177" s="6" t="e">
        <f>1/[1]!Tabelle1321011121516[[#This Row],[Mean fps ]]</f>
        <v>#VALUE!</v>
      </c>
      <c r="P177" s="7">
        <v>40</v>
      </c>
      <c r="Q177" s="3"/>
      <c r="R177" s="11"/>
      <c r="S177" s="7">
        <v>1.36</v>
      </c>
      <c r="T177" s="7">
        <v>1.107</v>
      </c>
      <c r="U177" s="7">
        <v>1.883</v>
      </c>
      <c r="V177" s="7"/>
      <c r="W177" s="7"/>
      <c r="X177" s="7"/>
      <c r="Y177" s="7"/>
      <c r="Z177" s="7"/>
      <c r="AA177" s="7"/>
      <c r="AB177" s="7"/>
      <c r="AC177" s="7" t="e">
        <f>Tabelle1311[[#This Row],[SD 1]]/Tabelle1311[[#This Row],[Mean Visc. 1 '[mPas']]]</f>
        <v>#DIV/0!</v>
      </c>
      <c r="AD177" s="7" t="e">
        <f>[1]!Tabelle132101112[[#This Row],[SD 2]]/[1]!Tabelle132101112[[#This Row],[Mean Visc. 2 '[mPas']2]]</f>
        <v>#VALUE!</v>
      </c>
      <c r="AE177" s="7" t="e">
        <f>[1]!Tabelle132101112[[#This Row],[SD 3]]/[1]!Tabelle132101112[[#This Row],[Mean Visc. 3 '[mPas']3]]</f>
        <v>#VALUE!</v>
      </c>
    </row>
    <row r="178" spans="1:31" x14ac:dyDescent="0.3">
      <c r="A178">
        <v>177</v>
      </c>
      <c r="B178" s="4"/>
      <c r="C178" s="5"/>
      <c r="D178" s="7">
        <v>18</v>
      </c>
      <c r="E178" t="s">
        <v>169</v>
      </c>
      <c r="F178" t="s">
        <v>197</v>
      </c>
      <c r="G178" s="23"/>
      <c r="H178" s="11" t="s">
        <v>198</v>
      </c>
      <c r="I178" s="9" t="s">
        <v>12</v>
      </c>
      <c r="J178" s="7">
        <v>23.5</v>
      </c>
      <c r="K178" s="7">
        <v>26</v>
      </c>
      <c r="L178" s="7">
        <v>31.76</v>
      </c>
      <c r="M178" s="7">
        <v>397</v>
      </c>
      <c r="N178" s="7" t="e">
        <f>[1]!Tabelle1321011121516[[#This Row],[Anzahl Frames]]/[1]!Tabelle1321011121516[[#This Row],[Aufnahmezeit '[s']]]</f>
        <v>#VALUE!</v>
      </c>
      <c r="O178" s="6" t="e">
        <f>1/[1]!Tabelle1321011121516[[#This Row],[Mean fps ]]</f>
        <v>#VALUE!</v>
      </c>
      <c r="P178" s="7">
        <v>40</v>
      </c>
      <c r="Q178" s="3"/>
      <c r="R178" s="11"/>
      <c r="S178" s="7">
        <v>1.4079999999999999</v>
      </c>
      <c r="T178" s="7">
        <v>1.127</v>
      </c>
      <c r="U178" s="7">
        <v>1.9830000000000001</v>
      </c>
      <c r="V178" s="7"/>
      <c r="W178" s="7"/>
      <c r="X178" s="7"/>
      <c r="Y178" s="7"/>
      <c r="Z178" s="7"/>
      <c r="AA178" s="7"/>
      <c r="AB178" s="7"/>
      <c r="AC178" s="7" t="e">
        <f>Tabelle1311[[#This Row],[SD 1]]/Tabelle1311[[#This Row],[Mean Visc. 1 '[mPas']]]</f>
        <v>#DIV/0!</v>
      </c>
      <c r="AD178" s="7" t="e">
        <f>[1]!Tabelle132101112[[#This Row],[SD 2]]/[1]!Tabelle132101112[[#This Row],[Mean Visc. 2 '[mPas']2]]</f>
        <v>#VALUE!</v>
      </c>
      <c r="AE178" s="7" t="e">
        <f>[1]!Tabelle132101112[[#This Row],[SD 3]]/[1]!Tabelle132101112[[#This Row],[Mean Visc. 3 '[mPas']3]]</f>
        <v>#VALUE!</v>
      </c>
    </row>
    <row r="179" spans="1:31" x14ac:dyDescent="0.3">
      <c r="A179">
        <v>178</v>
      </c>
      <c r="B179" s="4"/>
      <c r="C179" s="5"/>
      <c r="D179" s="7">
        <v>18</v>
      </c>
      <c r="E179" t="s">
        <v>169</v>
      </c>
      <c r="F179" t="s">
        <v>197</v>
      </c>
      <c r="G179" s="23"/>
      <c r="H179" s="11" t="s">
        <v>198</v>
      </c>
      <c r="I179" s="9" t="s">
        <v>12</v>
      </c>
      <c r="J179" s="7">
        <v>23.6</v>
      </c>
      <c r="K179" s="7">
        <v>25</v>
      </c>
      <c r="L179" s="7">
        <v>34.89</v>
      </c>
      <c r="M179" s="7">
        <v>436</v>
      </c>
      <c r="N179" s="7" t="e">
        <f>[1]!Tabelle1321011121516[[#This Row],[Anzahl Frames]]/[1]!Tabelle1321011121516[[#This Row],[Aufnahmezeit '[s']]]</f>
        <v>#VALUE!</v>
      </c>
      <c r="O179" s="6" t="e">
        <f>1/[1]!Tabelle1321011121516[[#This Row],[Mean fps ]]</f>
        <v>#VALUE!</v>
      </c>
      <c r="P179" s="7">
        <v>40</v>
      </c>
      <c r="Q179" s="3"/>
      <c r="R179" s="11"/>
      <c r="S179" s="7">
        <v>1.421</v>
      </c>
      <c r="T179" s="7">
        <v>1.147</v>
      </c>
      <c r="U179" s="7">
        <v>1.859</v>
      </c>
      <c r="V179" s="7"/>
      <c r="W179" s="7"/>
      <c r="X179" s="7"/>
      <c r="Y179" s="7"/>
      <c r="Z179" s="7"/>
      <c r="AA179" s="7"/>
      <c r="AB179" s="7"/>
      <c r="AC179" s="7" t="e">
        <f>Tabelle1311[[#This Row],[SD 1]]/Tabelle1311[[#This Row],[Mean Visc. 1 '[mPas']]]</f>
        <v>#DIV/0!</v>
      </c>
      <c r="AD179" s="7" t="e">
        <f>[1]!Tabelle132101112[[#This Row],[SD 2]]/[1]!Tabelle132101112[[#This Row],[Mean Visc. 2 '[mPas']2]]</f>
        <v>#VALUE!</v>
      </c>
      <c r="AE179" s="7" t="e">
        <f>[1]!Tabelle132101112[[#This Row],[SD 3]]/[1]!Tabelle132101112[[#This Row],[Mean Visc. 3 '[mPas']3]]</f>
        <v>#VALUE!</v>
      </c>
    </row>
    <row r="180" spans="1:31" x14ac:dyDescent="0.3">
      <c r="A180">
        <v>179</v>
      </c>
      <c r="B180" s="4"/>
      <c r="C180" s="5"/>
      <c r="D180" s="7">
        <v>18</v>
      </c>
      <c r="E180" t="s">
        <v>169</v>
      </c>
      <c r="F180" t="s">
        <v>197</v>
      </c>
      <c r="G180" s="23"/>
      <c r="H180" s="11" t="s">
        <v>198</v>
      </c>
      <c r="I180" s="9" t="s">
        <v>12</v>
      </c>
      <c r="J180" s="7">
        <v>23.6</v>
      </c>
      <c r="K180" s="7">
        <v>25</v>
      </c>
      <c r="L180" s="7">
        <v>30.51</v>
      </c>
      <c r="M180" s="7">
        <v>381</v>
      </c>
      <c r="N180" s="7" t="e">
        <f>[1]!Tabelle1321011121516[[#This Row],[Anzahl Frames]]/[1]!Tabelle1321011121516[[#This Row],[Aufnahmezeit '[s']]]</f>
        <v>#VALUE!</v>
      </c>
      <c r="O180" s="6" t="e">
        <f>1/[1]!Tabelle1321011121516[[#This Row],[Mean fps ]]</f>
        <v>#VALUE!</v>
      </c>
      <c r="P180" s="7">
        <v>40</v>
      </c>
      <c r="Q180" s="3"/>
      <c r="R180" s="11"/>
      <c r="S180" s="7">
        <v>1.377</v>
      </c>
      <c r="T180" s="7">
        <v>1.123</v>
      </c>
      <c r="U180" s="7">
        <v>1.923</v>
      </c>
      <c r="V180" s="7"/>
      <c r="W180" s="7"/>
      <c r="X180" s="7"/>
      <c r="Y180" s="7"/>
      <c r="Z180" s="7"/>
      <c r="AA180" s="7"/>
      <c r="AB180" s="7"/>
      <c r="AC180" s="7" t="e">
        <f>Tabelle1311[[#This Row],[SD 1]]/Tabelle1311[[#This Row],[Mean Visc. 1 '[mPas']]]</f>
        <v>#DIV/0!</v>
      </c>
      <c r="AD180" s="7" t="e">
        <f>[1]!Tabelle132101112[[#This Row],[SD 2]]/[1]!Tabelle132101112[[#This Row],[Mean Visc. 2 '[mPas']2]]</f>
        <v>#VALUE!</v>
      </c>
      <c r="AE180" s="7" t="e">
        <f>[1]!Tabelle132101112[[#This Row],[SD 3]]/[1]!Tabelle132101112[[#This Row],[Mean Visc. 3 '[mPas']3]]</f>
        <v>#VALUE!</v>
      </c>
    </row>
    <row r="181" spans="1:31" x14ac:dyDescent="0.3">
      <c r="A181">
        <v>180</v>
      </c>
      <c r="B181" s="4"/>
      <c r="C181" s="5"/>
      <c r="D181" s="7">
        <v>18</v>
      </c>
      <c r="E181" t="s">
        <v>169</v>
      </c>
      <c r="F181" t="s">
        <v>197</v>
      </c>
      <c r="G181" s="23"/>
      <c r="H181" s="11" t="s">
        <v>198</v>
      </c>
      <c r="I181" s="9" t="s">
        <v>12</v>
      </c>
      <c r="J181" s="7">
        <v>23.7</v>
      </c>
      <c r="K181" s="7">
        <v>25</v>
      </c>
      <c r="L181" s="7">
        <v>30.71</v>
      </c>
      <c r="M181" s="7">
        <v>384</v>
      </c>
      <c r="N181" s="7" t="e">
        <f>[1]!Tabelle1321011121516[[#This Row],[Anzahl Frames]]/[1]!Tabelle1321011121516[[#This Row],[Aufnahmezeit '[s']]]</f>
        <v>#VALUE!</v>
      </c>
      <c r="O181" s="6" t="e">
        <f>1/[1]!Tabelle1321011121516[[#This Row],[Mean fps ]]</f>
        <v>#VALUE!</v>
      </c>
      <c r="P181" s="7">
        <v>40</v>
      </c>
      <c r="Q181" s="3"/>
      <c r="R181" s="11"/>
      <c r="S181" s="7">
        <v>1.6439999999999999</v>
      </c>
      <c r="T181" s="7">
        <v>1.224</v>
      </c>
      <c r="U181" s="7">
        <v>2.024</v>
      </c>
      <c r="V181" s="7"/>
      <c r="W181" s="7">
        <f>SUM(S172:S181)/10</f>
        <v>1.3953</v>
      </c>
      <c r="X181" s="7">
        <f t="shared" ref="X181:Y181" si="17">SUM(T172:T181)/10</f>
        <v>1.1435</v>
      </c>
      <c r="Y181" s="7">
        <f t="shared" si="17"/>
        <v>1.8981000000000001</v>
      </c>
      <c r="Z181" s="7">
        <f>_xlfn.STDEV.S(S172:S181)</f>
        <v>0.1037219038262089</v>
      </c>
      <c r="AA181" s="7">
        <f>_xlfn.STDEV.S(T172:T181)</f>
        <v>3.9044846010709268E-2</v>
      </c>
      <c r="AB181" s="7">
        <f>_xlfn.STDEV.S(U172:U181)</f>
        <v>6.2770215867081425E-2</v>
      </c>
      <c r="AC181" s="7">
        <f>Tabelle1311[[#This Row],[SD 1]]/Tabelle1311[[#This Row],[Mean Visc. 1 '[mPas']]]</f>
        <v>7.4336632857599727E-2</v>
      </c>
      <c r="AD181" s="7" t="e">
        <f>[1]!Tabelle132101112[[#This Row],[SD 2]]/[1]!Tabelle132101112[[#This Row],[Mean Visc. 2 '[mPas']2]]</f>
        <v>#VALUE!</v>
      </c>
      <c r="AE181" s="7" t="e">
        <f>[1]!Tabelle132101112[[#This Row],[SD 3]]/[1]!Tabelle132101112[[#This Row],[Mean Visc. 3 '[mPas']3]]</f>
        <v>#VALUE!</v>
      </c>
    </row>
    <row r="182" spans="1:31" x14ac:dyDescent="0.3">
      <c r="A182">
        <v>181</v>
      </c>
      <c r="B182" s="4"/>
      <c r="C182" s="5"/>
      <c r="D182" s="7">
        <v>19</v>
      </c>
      <c r="E182" t="s">
        <v>189</v>
      </c>
      <c r="F182" t="s">
        <v>192</v>
      </c>
      <c r="G182" s="23"/>
      <c r="H182" s="11" t="s">
        <v>198</v>
      </c>
      <c r="I182" s="9" t="s">
        <v>12</v>
      </c>
      <c r="J182" s="9" t="s">
        <v>200</v>
      </c>
      <c r="K182" s="7">
        <v>25</v>
      </c>
      <c r="L182" s="7">
        <v>30.32</v>
      </c>
      <c r="M182" s="7">
        <v>379</v>
      </c>
      <c r="N182" s="7" t="e">
        <f>[1]!Tabelle1321011121516[[#This Row],[Anzahl Frames]]/[1]!Tabelle1321011121516[[#This Row],[Aufnahmezeit '[s']]]</f>
        <v>#VALUE!</v>
      </c>
      <c r="O182" s="6" t="e">
        <f>1/[1]!Tabelle1321011121516[[#This Row],[Mean fps ]]</f>
        <v>#VALUE!</v>
      </c>
      <c r="P182" s="7">
        <v>40</v>
      </c>
      <c r="Q182" s="3"/>
      <c r="R182" s="11"/>
      <c r="S182" s="7">
        <v>2.5339999999999998</v>
      </c>
      <c r="T182" s="7">
        <v>1.762</v>
      </c>
      <c r="U182" s="7">
        <v>2.6110000000000002</v>
      </c>
      <c r="V182" s="7"/>
      <c r="W182" s="7"/>
      <c r="X182" s="7"/>
      <c r="Y182" s="7"/>
      <c r="Z182" s="7"/>
      <c r="AA182" s="7"/>
      <c r="AB182" s="7"/>
      <c r="AC182" s="7" t="e">
        <f>Tabelle1311[[#This Row],[SD 1]]/Tabelle1311[[#This Row],[Mean Visc. 1 '[mPas']]]</f>
        <v>#DIV/0!</v>
      </c>
      <c r="AD182" s="7" t="e">
        <f>[1]!Tabelle1325[[#This Row],[SD 2]]/[1]!Tabelle1325[[#This Row],[Mean Visc. 2 '[mPas']2]]</f>
        <v>#VALUE!</v>
      </c>
      <c r="AE182" s="7" t="e">
        <f>[1]!Tabelle1325[[#This Row],[SD 3]]/[1]!Tabelle1325[[#This Row],[Mean Visc. 3 '[mPas']3]]</f>
        <v>#VALUE!</v>
      </c>
    </row>
    <row r="183" spans="1:31" x14ac:dyDescent="0.3">
      <c r="A183">
        <v>182</v>
      </c>
      <c r="B183" s="4"/>
      <c r="C183" s="5"/>
      <c r="D183" s="7">
        <v>19</v>
      </c>
      <c r="E183" t="s">
        <v>189</v>
      </c>
      <c r="F183" t="s">
        <v>192</v>
      </c>
      <c r="G183" s="23"/>
      <c r="H183" s="11" t="s">
        <v>198</v>
      </c>
      <c r="I183" s="9" t="s">
        <v>12</v>
      </c>
      <c r="J183" s="7">
        <v>24.5</v>
      </c>
      <c r="K183" s="7">
        <v>26</v>
      </c>
      <c r="L183" s="7">
        <v>30.48</v>
      </c>
      <c r="M183" s="7">
        <v>381</v>
      </c>
      <c r="N183" s="7" t="e">
        <f>[1]!Tabelle1321011121516[[#This Row],[Anzahl Frames]]/[1]!Tabelle1321011121516[[#This Row],[Aufnahmezeit '[s']]]</f>
        <v>#VALUE!</v>
      </c>
      <c r="O183" s="6" t="e">
        <f>1/[1]!Tabelle1321011121516[[#This Row],[Mean fps ]]</f>
        <v>#VALUE!</v>
      </c>
      <c r="P183" s="7">
        <v>40</v>
      </c>
      <c r="Q183" s="3"/>
      <c r="R183" s="11"/>
      <c r="S183" s="7">
        <v>2.5190000000000001</v>
      </c>
      <c r="T183" s="7">
        <v>1.9610000000000001</v>
      </c>
      <c r="U183" s="7">
        <v>2.6539999999999999</v>
      </c>
      <c r="V183" s="7"/>
      <c r="W183" s="7"/>
      <c r="X183" s="7"/>
      <c r="Y183" s="7"/>
      <c r="Z183" s="7"/>
      <c r="AA183" s="7"/>
      <c r="AB183" s="7"/>
      <c r="AC183" s="7" t="e">
        <f>Tabelle1311[[#This Row],[SD 1]]/Tabelle1311[[#This Row],[Mean Visc. 1 '[mPas']]]</f>
        <v>#DIV/0!</v>
      </c>
      <c r="AD183" s="7" t="e">
        <f>[1]!Tabelle1325[[#This Row],[SD 2]]/[1]!Tabelle1325[[#This Row],[Mean Visc. 2 '[mPas']2]]</f>
        <v>#VALUE!</v>
      </c>
      <c r="AE183" s="7" t="e">
        <f>[1]!Tabelle1325[[#This Row],[SD 3]]/[1]!Tabelle1325[[#This Row],[Mean Visc. 3 '[mPas']3]]</f>
        <v>#VALUE!</v>
      </c>
    </row>
    <row r="184" spans="1:31" x14ac:dyDescent="0.3">
      <c r="A184">
        <v>183</v>
      </c>
      <c r="B184" s="4"/>
      <c r="C184" s="5"/>
      <c r="D184" s="7">
        <v>19</v>
      </c>
      <c r="E184" t="s">
        <v>189</v>
      </c>
      <c r="F184" t="s">
        <v>192</v>
      </c>
      <c r="G184" s="23"/>
      <c r="H184" s="11" t="s">
        <v>198</v>
      </c>
      <c r="I184" s="9" t="s">
        <v>12</v>
      </c>
      <c r="J184" s="7">
        <v>24.5</v>
      </c>
      <c r="K184" s="7">
        <v>26</v>
      </c>
      <c r="L184" s="7">
        <v>31.04</v>
      </c>
      <c r="M184" s="7">
        <v>388</v>
      </c>
      <c r="N184" s="7" t="e">
        <f>[1]!Tabelle1321011121516[[#This Row],[Anzahl Frames]]/[1]!Tabelle1321011121516[[#This Row],[Aufnahmezeit '[s']]]</f>
        <v>#VALUE!</v>
      </c>
      <c r="O184" s="6" t="e">
        <f>1/[1]!Tabelle1321011121516[[#This Row],[Mean fps ]]</f>
        <v>#VALUE!</v>
      </c>
      <c r="P184" s="7">
        <v>40</v>
      </c>
      <c r="Q184" s="3"/>
      <c r="R184" s="11"/>
      <c r="S184" s="7">
        <v>2.7040000000000002</v>
      </c>
      <c r="T184" s="7">
        <v>1.9470000000000001</v>
      </c>
      <c r="U184" s="7">
        <v>2.89</v>
      </c>
      <c r="V184" s="7"/>
      <c r="W184" s="7"/>
      <c r="X184" s="7"/>
      <c r="Y184" s="7"/>
      <c r="Z184" s="7"/>
      <c r="AA184" s="7"/>
      <c r="AB184" s="7"/>
      <c r="AC184" s="7" t="e">
        <f>Tabelle1311[[#This Row],[SD 1]]/Tabelle1311[[#This Row],[Mean Visc. 1 '[mPas']]]</f>
        <v>#DIV/0!</v>
      </c>
      <c r="AD184" s="7" t="e">
        <f>[1]!Tabelle1325[[#This Row],[SD 2]]/[1]!Tabelle1325[[#This Row],[Mean Visc. 2 '[mPas']2]]</f>
        <v>#VALUE!</v>
      </c>
      <c r="AE184" s="7" t="e">
        <f>[1]!Tabelle1325[[#This Row],[SD 3]]/[1]!Tabelle1325[[#This Row],[Mean Visc. 3 '[mPas']3]]</f>
        <v>#VALUE!</v>
      </c>
    </row>
    <row r="185" spans="1:31" x14ac:dyDescent="0.3">
      <c r="A185">
        <v>184</v>
      </c>
      <c r="B185" s="4"/>
      <c r="C185" s="5"/>
      <c r="D185" s="7">
        <v>19</v>
      </c>
      <c r="E185" t="s">
        <v>189</v>
      </c>
      <c r="F185" t="s">
        <v>192</v>
      </c>
      <c r="G185" s="23"/>
      <c r="H185" s="11" t="s">
        <v>198</v>
      </c>
      <c r="I185" s="9" t="s">
        <v>12</v>
      </c>
      <c r="J185" s="7">
        <v>24.6</v>
      </c>
      <c r="K185" s="7">
        <v>26</v>
      </c>
      <c r="L185" s="7">
        <v>30.4</v>
      </c>
      <c r="M185" s="7">
        <v>381</v>
      </c>
      <c r="N185" s="7" t="e">
        <f>[1]!Tabelle1321011121516[[#This Row],[Anzahl Frames]]/[1]!Tabelle1321011121516[[#This Row],[Aufnahmezeit '[s']]]</f>
        <v>#VALUE!</v>
      </c>
      <c r="O185" s="6" t="e">
        <f>1/[1]!Tabelle1321011121516[[#This Row],[Mean fps ]]</f>
        <v>#VALUE!</v>
      </c>
      <c r="P185" s="7">
        <v>40</v>
      </c>
      <c r="Q185" s="3"/>
      <c r="R185" s="11"/>
      <c r="S185" s="7">
        <v>2.2530000000000001</v>
      </c>
      <c r="T185" s="7">
        <v>1.663</v>
      </c>
      <c r="U185" s="7">
        <v>2.4790000000000001</v>
      </c>
      <c r="V185" s="7"/>
      <c r="W185" s="7"/>
      <c r="X185" s="7"/>
      <c r="Y185" s="7"/>
      <c r="Z185" s="7"/>
      <c r="AA185" s="7"/>
      <c r="AB185" s="7"/>
      <c r="AC185" s="7" t="e">
        <f>Tabelle1311[[#This Row],[SD 1]]/Tabelle1311[[#This Row],[Mean Visc. 1 '[mPas']]]</f>
        <v>#DIV/0!</v>
      </c>
      <c r="AD185" s="7" t="e">
        <f>[1]!Tabelle1325[[#This Row],[SD 2]]/[1]!Tabelle1325[[#This Row],[Mean Visc. 2 '[mPas']2]]</f>
        <v>#VALUE!</v>
      </c>
      <c r="AE185" s="7" t="e">
        <f>[1]!Tabelle1325[[#This Row],[SD 3]]/[1]!Tabelle1325[[#This Row],[Mean Visc. 3 '[mPas']3]]</f>
        <v>#VALUE!</v>
      </c>
    </row>
    <row r="186" spans="1:31" ht="15" thickBot="1" x14ac:dyDescent="0.35">
      <c r="A186">
        <v>185</v>
      </c>
      <c r="B186" s="4"/>
      <c r="C186" s="16"/>
      <c r="D186" s="7">
        <v>19</v>
      </c>
      <c r="E186" t="s">
        <v>189</v>
      </c>
      <c r="F186" t="s">
        <v>192</v>
      </c>
      <c r="G186" s="24"/>
      <c r="H186" s="21" t="s">
        <v>198</v>
      </c>
      <c r="I186" s="9" t="s">
        <v>12</v>
      </c>
      <c r="J186" s="17">
        <v>24.6</v>
      </c>
      <c r="K186" s="17">
        <v>26</v>
      </c>
      <c r="L186" s="17">
        <v>30.64</v>
      </c>
      <c r="M186" s="17">
        <v>384</v>
      </c>
      <c r="N186" s="17" t="e">
        <f>[1]!Tabelle1321011121516[[#This Row],[Anzahl Frames]]/[1]!Tabelle1321011121516[[#This Row],[Aufnahmezeit '[s']]]</f>
        <v>#VALUE!</v>
      </c>
      <c r="O186" s="25" t="e">
        <f>1/[1]!Tabelle1321011121516[[#This Row],[Mean fps ]]</f>
        <v>#VALUE!</v>
      </c>
      <c r="P186" s="17">
        <v>40</v>
      </c>
      <c r="Q186" s="20"/>
      <c r="R186" s="21"/>
      <c r="S186" s="17">
        <v>2.431</v>
      </c>
      <c r="T186" s="17">
        <v>1.756</v>
      </c>
      <c r="U186" s="17">
        <v>2.7109999999999999</v>
      </c>
      <c r="V186" s="17"/>
      <c r="W186" s="17"/>
      <c r="X186" s="17"/>
      <c r="Y186" s="17"/>
      <c r="Z186" s="17"/>
      <c r="AA186" s="17"/>
      <c r="AB186" s="17"/>
      <c r="AC186" s="17" t="e">
        <f>Tabelle1311[[#This Row],[SD 1]]/Tabelle1311[[#This Row],[Mean Visc. 1 '[mPas']]]</f>
        <v>#DIV/0!</v>
      </c>
      <c r="AD186" s="17" t="e">
        <f>[1]!Tabelle1325[[#This Row],[SD 2]]/[1]!Tabelle1325[[#This Row],[Mean Visc. 2 '[mPas']2]]</f>
        <v>#VALUE!</v>
      </c>
      <c r="AE186" s="17" t="e">
        <f>[1]!Tabelle1325[[#This Row],[SD 3]]/[1]!Tabelle1325[[#This Row],[Mean Visc. 3 '[mPas']3]]</f>
        <v>#VALUE!</v>
      </c>
    </row>
    <row r="187" spans="1:31" ht="15" thickTop="1" x14ac:dyDescent="0.3">
      <c r="A187">
        <v>186</v>
      </c>
      <c r="B187" s="4"/>
      <c r="C187" s="5"/>
      <c r="D187" s="7">
        <v>19</v>
      </c>
      <c r="E187" t="s">
        <v>189</v>
      </c>
      <c r="F187" t="s">
        <v>192</v>
      </c>
      <c r="G187" s="23"/>
      <c r="H187" s="11" t="s">
        <v>198</v>
      </c>
      <c r="I187" s="9" t="s">
        <v>12</v>
      </c>
      <c r="J187" s="7">
        <v>24.7</v>
      </c>
      <c r="K187" s="7">
        <v>26</v>
      </c>
      <c r="L187" s="7">
        <v>31.52</v>
      </c>
      <c r="M187" s="7">
        <v>394</v>
      </c>
      <c r="N187" s="7" t="e">
        <f>[1]!Tabelle1321011121516[[#This Row],[Anzahl Frames]]/[1]!Tabelle1321011121516[[#This Row],[Aufnahmezeit '[s']]]</f>
        <v>#VALUE!</v>
      </c>
      <c r="O187" s="6" t="e">
        <f>1/[1]!Tabelle1321011121516[[#This Row],[Mean fps ]]</f>
        <v>#VALUE!</v>
      </c>
      <c r="P187" s="7">
        <v>40</v>
      </c>
      <c r="Q187" s="3"/>
      <c r="R187" s="11"/>
      <c r="S187" s="7">
        <v>2.448</v>
      </c>
      <c r="T187" s="7">
        <v>1.706</v>
      </c>
      <c r="U187" s="7">
        <v>2.83</v>
      </c>
      <c r="V187" s="7"/>
      <c r="W187" s="7"/>
      <c r="X187" s="7"/>
      <c r="Y187" s="7"/>
      <c r="Z187" s="7"/>
      <c r="AA187" s="7"/>
      <c r="AB187" s="7"/>
      <c r="AC187" s="7" t="e">
        <f>Tabelle1311[[#This Row],[SD 1]]/Tabelle1311[[#This Row],[Mean Visc. 1 '[mPas']]]</f>
        <v>#DIV/0!</v>
      </c>
      <c r="AD187" s="7" t="e">
        <f>[1]!Tabelle1325[[#This Row],[SD 2]]/[1]!Tabelle1325[[#This Row],[Mean Visc. 2 '[mPas']2]]</f>
        <v>#VALUE!</v>
      </c>
      <c r="AE187" s="7" t="e">
        <f>[1]!Tabelle1325[[#This Row],[SD 3]]/[1]!Tabelle1325[[#This Row],[Mean Visc. 3 '[mPas']3]]</f>
        <v>#VALUE!</v>
      </c>
    </row>
    <row r="188" spans="1:31" x14ac:dyDescent="0.3">
      <c r="A188">
        <v>187</v>
      </c>
      <c r="B188" s="4"/>
      <c r="C188" s="5"/>
      <c r="D188" s="7">
        <v>19</v>
      </c>
      <c r="E188" t="s">
        <v>189</v>
      </c>
      <c r="F188" t="s">
        <v>192</v>
      </c>
      <c r="G188" s="23"/>
      <c r="H188" s="11" t="s">
        <v>198</v>
      </c>
      <c r="I188" s="9" t="s">
        <v>12</v>
      </c>
      <c r="J188" s="7">
        <v>24.7</v>
      </c>
      <c r="K188" s="7">
        <v>26</v>
      </c>
      <c r="L188" s="7">
        <v>30.16</v>
      </c>
      <c r="M188" s="7">
        <v>378</v>
      </c>
      <c r="N188" s="7" t="e">
        <f>[1]!Tabelle1321011121516[[#This Row],[Anzahl Frames]]/[1]!Tabelle1321011121516[[#This Row],[Aufnahmezeit '[s']]]</f>
        <v>#VALUE!</v>
      </c>
      <c r="O188" s="6" t="e">
        <f>1/[1]!Tabelle1321011121516[[#This Row],[Mean fps ]]</f>
        <v>#VALUE!</v>
      </c>
      <c r="P188" s="7">
        <v>40</v>
      </c>
      <c r="Q188" s="3"/>
      <c r="R188" s="11"/>
      <c r="S188" s="7">
        <v>2.6419999999999999</v>
      </c>
      <c r="T188" s="7">
        <v>1.867</v>
      </c>
      <c r="U188" s="7">
        <v>2.8570000000000002</v>
      </c>
      <c r="V188" s="7"/>
      <c r="W188" s="7"/>
      <c r="X188" s="7"/>
      <c r="Y188" s="7"/>
      <c r="Z188" s="7"/>
      <c r="AA188" s="7"/>
      <c r="AB188" s="7"/>
      <c r="AC188" s="7" t="e">
        <f>Tabelle1311[[#This Row],[SD 1]]/Tabelle1311[[#This Row],[Mean Visc. 1 '[mPas']]]</f>
        <v>#DIV/0!</v>
      </c>
      <c r="AD188" s="7" t="e">
        <f>[1]!Tabelle1325[[#This Row],[SD 2]]/[1]!Tabelle1325[[#This Row],[Mean Visc. 2 '[mPas']2]]</f>
        <v>#VALUE!</v>
      </c>
      <c r="AE188" s="7" t="e">
        <f>[1]!Tabelle1325[[#This Row],[SD 3]]/[1]!Tabelle1325[[#This Row],[Mean Visc. 3 '[mPas']3]]</f>
        <v>#VALUE!</v>
      </c>
    </row>
    <row r="189" spans="1:31" x14ac:dyDescent="0.3">
      <c r="A189">
        <v>188</v>
      </c>
      <c r="B189" s="4"/>
      <c r="C189" s="5"/>
      <c r="D189" s="7">
        <v>19</v>
      </c>
      <c r="E189" t="s">
        <v>189</v>
      </c>
      <c r="F189" t="s">
        <v>192</v>
      </c>
      <c r="G189" s="23"/>
      <c r="H189" s="11" t="s">
        <v>198</v>
      </c>
      <c r="I189" s="9" t="s">
        <v>12</v>
      </c>
      <c r="J189" s="7">
        <v>24.8</v>
      </c>
      <c r="K189" s="7">
        <v>26</v>
      </c>
      <c r="L189" s="7">
        <v>30.8</v>
      </c>
      <c r="M189" s="7">
        <v>385</v>
      </c>
      <c r="N189" s="7" t="e">
        <f>[1]!Tabelle1321011121516[[#This Row],[Anzahl Frames]]/[1]!Tabelle1321011121516[[#This Row],[Aufnahmezeit '[s']]]</f>
        <v>#VALUE!</v>
      </c>
      <c r="O189" s="6" t="e">
        <f>1/[1]!Tabelle1321011121516[[#This Row],[Mean fps ]]</f>
        <v>#VALUE!</v>
      </c>
      <c r="P189" s="7">
        <v>40</v>
      </c>
      <c r="Q189" s="3"/>
      <c r="R189" s="11"/>
      <c r="S189" s="7">
        <v>2.6030000000000002</v>
      </c>
      <c r="T189" s="7">
        <v>1.9419999999999999</v>
      </c>
      <c r="U189" s="7">
        <v>2.9929999999999999</v>
      </c>
      <c r="V189" s="7"/>
      <c r="W189" s="7"/>
      <c r="X189" s="7"/>
      <c r="Y189" s="7"/>
      <c r="Z189" s="7"/>
      <c r="AA189" s="7"/>
      <c r="AB189" s="7"/>
      <c r="AC189" s="7" t="e">
        <f>Tabelle1311[[#This Row],[SD 1]]/Tabelle1311[[#This Row],[Mean Visc. 1 '[mPas']]]</f>
        <v>#DIV/0!</v>
      </c>
      <c r="AD189" s="7" t="e">
        <f>[1]!Tabelle1325[[#This Row],[SD 2]]/[1]!Tabelle1325[[#This Row],[Mean Visc. 2 '[mPas']2]]</f>
        <v>#VALUE!</v>
      </c>
      <c r="AE189" s="7" t="e">
        <f>[1]!Tabelle1325[[#This Row],[SD 3]]/[1]!Tabelle1325[[#This Row],[Mean Visc. 3 '[mPas']3]]</f>
        <v>#VALUE!</v>
      </c>
    </row>
    <row r="190" spans="1:31" x14ac:dyDescent="0.3">
      <c r="A190">
        <v>189</v>
      </c>
      <c r="B190" s="4"/>
      <c r="C190" s="5"/>
      <c r="D190" s="7">
        <v>19</v>
      </c>
      <c r="E190" t="s">
        <v>189</v>
      </c>
      <c r="F190" t="s">
        <v>192</v>
      </c>
      <c r="G190" s="23"/>
      <c r="H190" s="11" t="s">
        <v>198</v>
      </c>
      <c r="I190" s="9" t="s">
        <v>12</v>
      </c>
      <c r="J190" s="7">
        <v>24.8</v>
      </c>
      <c r="K190" s="7">
        <v>26</v>
      </c>
      <c r="L190" s="7">
        <v>30.8</v>
      </c>
      <c r="M190" s="7">
        <v>385</v>
      </c>
      <c r="N190" s="7" t="e">
        <f>[1]!Tabelle1321011121516[[#This Row],[Anzahl Frames]]/[1]!Tabelle1321011121516[[#This Row],[Aufnahmezeit '[s']]]</f>
        <v>#VALUE!</v>
      </c>
      <c r="O190" s="6" t="e">
        <f>1/[1]!Tabelle1321011121516[[#This Row],[Mean fps ]]</f>
        <v>#VALUE!</v>
      </c>
      <c r="P190" s="7">
        <v>40</v>
      </c>
      <c r="Q190" s="3"/>
      <c r="R190" s="11"/>
      <c r="S190" s="7">
        <v>2.64</v>
      </c>
      <c r="T190" s="7">
        <v>2.113</v>
      </c>
      <c r="U190" s="7">
        <v>2.89</v>
      </c>
      <c r="V190" s="7"/>
      <c r="W190" s="7"/>
      <c r="X190" s="7"/>
      <c r="Y190" s="7"/>
      <c r="Z190" s="7"/>
      <c r="AA190" s="7"/>
      <c r="AB190" s="7"/>
      <c r="AC190" s="7" t="e">
        <f>Tabelle1311[[#This Row],[SD 1]]/Tabelle1311[[#This Row],[Mean Visc. 1 '[mPas']]]</f>
        <v>#DIV/0!</v>
      </c>
      <c r="AD190" s="7" t="e">
        <f>[1]!Tabelle1325[[#This Row],[SD 2]]/[1]!Tabelle1325[[#This Row],[Mean Visc. 2 '[mPas']2]]</f>
        <v>#VALUE!</v>
      </c>
      <c r="AE190" s="7" t="e">
        <f>[1]!Tabelle1325[[#This Row],[SD 3]]/[1]!Tabelle1325[[#This Row],[Mean Visc. 3 '[mPas']3]]</f>
        <v>#VALUE!</v>
      </c>
    </row>
    <row r="191" spans="1:31" x14ac:dyDescent="0.3">
      <c r="A191">
        <v>190</v>
      </c>
      <c r="B191" s="4"/>
      <c r="C191" s="5"/>
      <c r="D191" s="7">
        <v>19</v>
      </c>
      <c r="E191" t="s">
        <v>189</v>
      </c>
      <c r="F191" t="s">
        <v>192</v>
      </c>
      <c r="G191" s="23"/>
      <c r="H191" s="11" t="s">
        <v>198</v>
      </c>
      <c r="I191" s="9" t="s">
        <v>12</v>
      </c>
      <c r="J191" s="7">
        <v>24.9</v>
      </c>
      <c r="K191" s="7">
        <v>26</v>
      </c>
      <c r="L191" s="7">
        <v>31.19</v>
      </c>
      <c r="M191" s="7">
        <v>390</v>
      </c>
      <c r="N191" s="7" t="e">
        <f>[1]!Tabelle1321011121516[[#This Row],[Anzahl Frames]]/[1]!Tabelle1321011121516[[#This Row],[Aufnahmezeit '[s']]]</f>
        <v>#VALUE!</v>
      </c>
      <c r="O191" s="6" t="e">
        <f>1/[1]!Tabelle1321011121516[[#This Row],[Mean fps ]]</f>
        <v>#VALUE!</v>
      </c>
      <c r="P191" s="7">
        <v>40</v>
      </c>
      <c r="Q191" s="3"/>
      <c r="R191" s="11"/>
      <c r="S191" s="7">
        <v>2.7450000000000001</v>
      </c>
      <c r="T191" s="7">
        <v>1.946</v>
      </c>
      <c r="U191" s="7">
        <v>3.0289999999999999</v>
      </c>
      <c r="V191" s="7"/>
      <c r="W191" s="7">
        <f>SUM(S182:S191)/10</f>
        <v>2.5519000000000003</v>
      </c>
      <c r="X191" s="7">
        <f t="shared" ref="X191:Y191" si="18">SUM(T182:T191)/10</f>
        <v>1.8663000000000001</v>
      </c>
      <c r="Y191" s="7">
        <f t="shared" si="18"/>
        <v>2.7944</v>
      </c>
      <c r="Z191" s="7">
        <f>_xlfn.STDEV.S(S182:S191)</f>
        <v>0.14722201677134514</v>
      </c>
      <c r="AA191" s="7">
        <f>_xlfn.STDEV.S(T182:T191)</f>
        <v>0.14082932933164172</v>
      </c>
      <c r="AB191" s="7">
        <f>_xlfn.STDEV.S(U182:U191)</f>
        <v>0.17566521188518416</v>
      </c>
      <c r="AC191" s="7">
        <f>Tabelle1311[[#This Row],[SD 1]]/Tabelle1311[[#This Row],[Mean Visc. 1 '[mPas']]]</f>
        <v>5.7691138669753957E-2</v>
      </c>
      <c r="AD191" s="7" t="e">
        <f>[1]!Tabelle1321011121516[[#This Row],[SD 2]]/[1]!Tabelle1321011121516[[#This Row],[Mean Visc. 2 '[mPas']2]]</f>
        <v>#VALUE!</v>
      </c>
      <c r="AE191" s="7" t="e">
        <f>[1]!Tabelle1321011121516[[#This Row],[SD 3]]/[1]!Tabelle1321011121516[[#This Row],[Mean Visc. 3 '[mPas']3]]</f>
        <v>#VALUE!</v>
      </c>
    </row>
    <row r="192" spans="1:31" x14ac:dyDescent="0.3">
      <c r="A192">
        <v>191</v>
      </c>
      <c r="B192" s="4"/>
      <c r="C192" s="5"/>
      <c r="D192" s="7">
        <v>20</v>
      </c>
      <c r="E192" t="s">
        <v>189</v>
      </c>
      <c r="F192" t="s">
        <v>197</v>
      </c>
      <c r="G192" s="23"/>
      <c r="H192" s="11" t="s">
        <v>198</v>
      </c>
      <c r="I192" s="9" t="s">
        <v>12</v>
      </c>
      <c r="J192" s="7">
        <v>23.3</v>
      </c>
      <c r="K192" s="7">
        <v>24</v>
      </c>
      <c r="L192" s="7">
        <v>37.08</v>
      </c>
      <c r="M192" s="7">
        <v>468</v>
      </c>
      <c r="N192" s="7" t="e">
        <f>[1]!Tabelle1321011121516[[#This Row],[Anzahl Frames]]/[1]!Tabelle1321011121516[[#This Row],[Aufnahmezeit '[s']]]</f>
        <v>#VALUE!</v>
      </c>
      <c r="O192" s="6" t="e">
        <f>1/[1]!Tabelle1321011121516[[#This Row],[Mean fps ]]</f>
        <v>#VALUE!</v>
      </c>
      <c r="P192" s="7">
        <v>40</v>
      </c>
      <c r="Q192" s="3"/>
      <c r="R192" s="11"/>
      <c r="S192" s="7">
        <v>2.3530000000000002</v>
      </c>
      <c r="T192" s="7">
        <v>1.8109999999999999</v>
      </c>
      <c r="U192" s="7">
        <v>2.5169999999999999</v>
      </c>
      <c r="V192" s="7"/>
      <c r="W192" s="7"/>
      <c r="X192" s="7"/>
      <c r="Y192" s="7"/>
      <c r="Z192" s="7"/>
      <c r="AA192" s="7"/>
      <c r="AB192" s="7"/>
      <c r="AC192" s="7" t="e">
        <f>Tabelle1311[[#This Row],[SD 1]]/Tabelle1311[[#This Row],[Mean Visc. 1 '[mPas']]]</f>
        <v>#DIV/0!</v>
      </c>
      <c r="AD192" s="7" t="e">
        <f>[1]!Tabelle1325[[#This Row],[SD 2]]/[1]!Tabelle1325[[#This Row],[Mean Visc. 2 '[mPas']2]]</f>
        <v>#VALUE!</v>
      </c>
      <c r="AE192" s="7" t="e">
        <f>[1]!Tabelle1325[[#This Row],[SD 3]]/[1]!Tabelle1325[[#This Row],[Mean Visc. 3 '[mPas']3]]</f>
        <v>#VALUE!</v>
      </c>
    </row>
    <row r="193" spans="1:31" x14ac:dyDescent="0.3">
      <c r="A193">
        <v>192</v>
      </c>
      <c r="B193" s="4"/>
      <c r="C193" s="5"/>
      <c r="D193" s="7">
        <v>20</v>
      </c>
      <c r="E193" t="s">
        <v>189</v>
      </c>
      <c r="F193" t="s">
        <v>197</v>
      </c>
      <c r="G193" s="23"/>
      <c r="H193" s="11" t="s">
        <v>198</v>
      </c>
      <c r="I193" s="9" t="s">
        <v>12</v>
      </c>
      <c r="J193" s="7">
        <v>24.1</v>
      </c>
      <c r="K193" s="7">
        <v>23</v>
      </c>
      <c r="L193" s="7">
        <v>31.92</v>
      </c>
      <c r="M193" s="7">
        <v>400</v>
      </c>
      <c r="N193" s="7" t="e">
        <f>[1]!Tabelle1321011121516[[#This Row],[Anzahl Frames]]/[1]!Tabelle1321011121516[[#This Row],[Aufnahmezeit '[s']]]</f>
        <v>#VALUE!</v>
      </c>
      <c r="O193" s="6" t="e">
        <f>1/[1]!Tabelle1321011121516[[#This Row],[Mean fps ]]</f>
        <v>#VALUE!</v>
      </c>
      <c r="P193" s="7">
        <v>40</v>
      </c>
      <c r="Q193" s="3"/>
      <c r="R193" s="11"/>
      <c r="S193" s="7">
        <v>2.88</v>
      </c>
      <c r="T193" s="7">
        <v>2.2749999999999999</v>
      </c>
      <c r="U193" s="7">
        <v>2.61</v>
      </c>
      <c r="V193" s="7"/>
      <c r="W193" s="7"/>
      <c r="X193" s="7"/>
      <c r="Y193" s="7"/>
      <c r="Z193" s="7"/>
      <c r="AA193" s="7"/>
      <c r="AB193" s="7"/>
      <c r="AC193" s="7" t="e">
        <f>Tabelle1311[[#This Row],[SD 1]]/Tabelle1311[[#This Row],[Mean Visc. 1 '[mPas']]]</f>
        <v>#DIV/0!</v>
      </c>
      <c r="AD193" s="7" t="e">
        <f>[1]!Tabelle1325[[#This Row],[SD 2]]/[1]!Tabelle1325[[#This Row],[Mean Visc. 2 '[mPas']2]]</f>
        <v>#VALUE!</v>
      </c>
      <c r="AE193" s="7" t="e">
        <f>[1]!Tabelle1325[[#This Row],[SD 3]]/[1]!Tabelle1325[[#This Row],[Mean Visc. 3 '[mPas']3]]</f>
        <v>#VALUE!</v>
      </c>
    </row>
    <row r="194" spans="1:31" x14ac:dyDescent="0.3">
      <c r="A194">
        <v>193</v>
      </c>
      <c r="B194" s="4"/>
      <c r="C194" s="5"/>
      <c r="D194" s="7">
        <v>20</v>
      </c>
      <c r="E194" t="s">
        <v>189</v>
      </c>
      <c r="F194" t="s">
        <v>197</v>
      </c>
      <c r="G194" s="23"/>
      <c r="H194" s="11" t="s">
        <v>198</v>
      </c>
      <c r="I194" s="9" t="s">
        <v>12</v>
      </c>
      <c r="J194" s="7">
        <v>24.4</v>
      </c>
      <c r="K194" s="7">
        <v>23</v>
      </c>
      <c r="L194" s="7">
        <v>35.68</v>
      </c>
      <c r="M194" s="7">
        <v>447</v>
      </c>
      <c r="N194" s="7" t="e">
        <f>[1]!Tabelle1321011121516[[#This Row],[Anzahl Frames]]/[1]!Tabelle1321011121516[[#This Row],[Aufnahmezeit '[s']]]</f>
        <v>#VALUE!</v>
      </c>
      <c r="O194" s="6" t="e">
        <f>1/[1]!Tabelle1321011121516[[#This Row],[Mean fps ]]</f>
        <v>#VALUE!</v>
      </c>
      <c r="P194" s="7">
        <v>40</v>
      </c>
      <c r="Q194" s="3"/>
      <c r="R194" s="11"/>
      <c r="S194" s="7">
        <v>2.8039999999999998</v>
      </c>
      <c r="T194" s="7">
        <v>2.056</v>
      </c>
      <c r="U194" s="7">
        <v>2.6850000000000001</v>
      </c>
      <c r="V194" s="7"/>
      <c r="W194" s="7"/>
      <c r="X194" s="7"/>
      <c r="Y194" s="7"/>
      <c r="Z194" s="7"/>
      <c r="AA194" s="7"/>
      <c r="AB194" s="7"/>
      <c r="AC194" s="7" t="e">
        <f>Tabelle1311[[#This Row],[SD 1]]/Tabelle1311[[#This Row],[Mean Visc. 1 '[mPas']]]</f>
        <v>#DIV/0!</v>
      </c>
      <c r="AD194" s="7" t="e">
        <f>[1]!Tabelle1325[[#This Row],[SD 2]]/[1]!Tabelle1325[[#This Row],[Mean Visc. 2 '[mPas']2]]</f>
        <v>#VALUE!</v>
      </c>
      <c r="AE194" s="7" t="e">
        <f>[1]!Tabelle1325[[#This Row],[SD 3]]/[1]!Tabelle1325[[#This Row],[Mean Visc. 3 '[mPas']3]]</f>
        <v>#VALUE!</v>
      </c>
    </row>
    <row r="195" spans="1:31" x14ac:dyDescent="0.3">
      <c r="A195">
        <v>194</v>
      </c>
      <c r="B195" s="4"/>
      <c r="C195" s="5"/>
      <c r="D195" s="7">
        <v>20</v>
      </c>
      <c r="E195" t="s">
        <v>189</v>
      </c>
      <c r="F195" t="s">
        <v>197</v>
      </c>
      <c r="G195" s="23"/>
      <c r="H195" s="11" t="s">
        <v>198</v>
      </c>
      <c r="I195" s="9" t="s">
        <v>12</v>
      </c>
      <c r="J195" s="7">
        <v>24.6</v>
      </c>
      <c r="K195" s="7">
        <v>23</v>
      </c>
      <c r="L195" s="7">
        <v>30.72</v>
      </c>
      <c r="M195" s="7">
        <v>510</v>
      </c>
      <c r="N195" s="7" t="e">
        <f>[1]!Tabelle1321011121516[[#This Row],[Anzahl Frames]]/[1]!Tabelle1321011121516[[#This Row],[Aufnahmezeit '[s']]]</f>
        <v>#VALUE!</v>
      </c>
      <c r="O195" s="6" t="e">
        <f>1/[1]!Tabelle1321011121516[[#This Row],[Mean fps ]]</f>
        <v>#VALUE!</v>
      </c>
      <c r="P195" s="7">
        <v>40</v>
      </c>
      <c r="Q195" s="3"/>
      <c r="R195" s="11"/>
      <c r="S195" s="7">
        <v>2.62</v>
      </c>
      <c r="T195" s="7">
        <v>1.7</v>
      </c>
      <c r="U195" s="7">
        <v>2.3250000000000002</v>
      </c>
      <c r="V195" s="7"/>
      <c r="W195" s="7"/>
      <c r="X195" s="7"/>
      <c r="Y195" s="7"/>
      <c r="Z195" s="7"/>
      <c r="AA195" s="7"/>
      <c r="AB195" s="7"/>
      <c r="AC195" s="7" t="e">
        <f>Tabelle1311[[#This Row],[SD 1]]/Tabelle1311[[#This Row],[Mean Visc. 1 '[mPas']]]</f>
        <v>#DIV/0!</v>
      </c>
      <c r="AD195" s="7" t="e">
        <f>[1]!Tabelle1325[[#This Row],[SD 2]]/[1]!Tabelle1325[[#This Row],[Mean Visc. 2 '[mPas']2]]</f>
        <v>#VALUE!</v>
      </c>
      <c r="AE195" s="7" t="e">
        <f>[1]!Tabelle1325[[#This Row],[SD 3]]/[1]!Tabelle1325[[#This Row],[Mean Visc. 3 '[mPas']3]]</f>
        <v>#VALUE!</v>
      </c>
    </row>
    <row r="196" spans="1:31" ht="15" thickBot="1" x14ac:dyDescent="0.35">
      <c r="A196">
        <v>195</v>
      </c>
      <c r="B196" s="15"/>
      <c r="C196" s="16"/>
      <c r="D196" s="7">
        <v>20</v>
      </c>
      <c r="E196" t="s">
        <v>189</v>
      </c>
      <c r="F196" t="s">
        <v>197</v>
      </c>
      <c r="G196" s="24"/>
      <c r="H196" s="21" t="s">
        <v>198</v>
      </c>
      <c r="I196" s="9" t="s">
        <v>12</v>
      </c>
      <c r="J196" s="17">
        <v>24.7</v>
      </c>
      <c r="K196" s="17">
        <v>22</v>
      </c>
      <c r="L196" s="17">
        <v>31.6</v>
      </c>
      <c r="M196" s="17">
        <v>396</v>
      </c>
      <c r="N196" s="17" t="e">
        <f>[1]!Tabelle1321011121516[[#This Row],[Anzahl Frames]]/[1]!Tabelle1321011121516[[#This Row],[Aufnahmezeit '[s']]]</f>
        <v>#VALUE!</v>
      </c>
      <c r="O196" s="25" t="e">
        <f>1/[1]!Tabelle1321011121516[[#This Row],[Mean fps ]]</f>
        <v>#VALUE!</v>
      </c>
      <c r="P196" s="17">
        <v>40</v>
      </c>
      <c r="Q196" s="20"/>
      <c r="R196" s="21"/>
      <c r="S196" s="17">
        <v>2.8730000000000002</v>
      </c>
      <c r="T196" s="17">
        <v>2.1349999999999998</v>
      </c>
      <c r="U196" s="17">
        <v>2.714</v>
      </c>
      <c r="V196" s="17"/>
      <c r="W196" s="17"/>
      <c r="X196" s="17"/>
      <c r="Y196" s="17"/>
      <c r="Z196" s="17"/>
      <c r="AA196" s="17"/>
      <c r="AB196" s="17"/>
      <c r="AC196" s="17" t="e">
        <f>Tabelle1311[[#This Row],[SD 1]]/Tabelle1311[[#This Row],[Mean Visc. 1 '[mPas']]]</f>
        <v>#DIV/0!</v>
      </c>
      <c r="AD196" s="17" t="e">
        <f>[1]!Tabelle1325[[#This Row],[SD 2]]/[1]!Tabelle1325[[#This Row],[Mean Visc. 2 '[mPas']2]]</f>
        <v>#VALUE!</v>
      </c>
      <c r="AE196" s="17" t="e">
        <f>[1]!Tabelle1325[[#This Row],[SD 3]]/[1]!Tabelle1325[[#This Row],[Mean Visc. 3 '[mPas']3]]</f>
        <v>#VALUE!</v>
      </c>
    </row>
    <row r="197" spans="1:31" ht="15" thickTop="1" x14ac:dyDescent="0.3">
      <c r="A197">
        <v>196</v>
      </c>
      <c r="B197" s="4"/>
      <c r="C197" s="5"/>
      <c r="D197" s="7">
        <v>20</v>
      </c>
      <c r="E197" t="s">
        <v>189</v>
      </c>
      <c r="F197" t="s">
        <v>197</v>
      </c>
      <c r="G197" s="23"/>
      <c r="H197" s="11" t="s">
        <v>198</v>
      </c>
      <c r="I197" s="9" t="s">
        <v>12</v>
      </c>
      <c r="J197" s="7">
        <v>25</v>
      </c>
      <c r="K197" s="7">
        <v>22</v>
      </c>
      <c r="L197" s="7">
        <v>31.44</v>
      </c>
      <c r="M197" s="7">
        <v>393</v>
      </c>
      <c r="N197" s="7" t="e">
        <f>[1]!Tabelle1321011121516[[#This Row],[Anzahl Frames]]/[1]!Tabelle1321011121516[[#This Row],[Aufnahmezeit '[s']]]</f>
        <v>#VALUE!</v>
      </c>
      <c r="O197" s="6" t="e">
        <f>1/[1]!Tabelle1321011121516[[#This Row],[Mean fps ]]</f>
        <v>#VALUE!</v>
      </c>
      <c r="P197" s="7">
        <v>40</v>
      </c>
      <c r="Q197" s="3"/>
      <c r="R197" s="11"/>
      <c r="S197" s="7">
        <v>2.585</v>
      </c>
      <c r="T197" s="7">
        <v>1.8029999999999999</v>
      </c>
      <c r="U197" s="7">
        <v>2.5459999999999998</v>
      </c>
      <c r="V197" s="7"/>
      <c r="W197" s="7"/>
      <c r="X197" s="7"/>
      <c r="Y197" s="7"/>
      <c r="Z197" s="7"/>
      <c r="AA197" s="7"/>
      <c r="AB197" s="7"/>
      <c r="AC197" s="7" t="e">
        <f>Tabelle1311[[#This Row],[SD 1]]/Tabelle1311[[#This Row],[Mean Visc. 1 '[mPas']]]</f>
        <v>#DIV/0!</v>
      </c>
      <c r="AD197" s="7" t="e">
        <f>[1]!Tabelle1325[[#This Row],[SD 2]]/[1]!Tabelle1325[[#This Row],[Mean Visc. 2 '[mPas']2]]</f>
        <v>#VALUE!</v>
      </c>
      <c r="AE197" s="7" t="e">
        <f>[1]!Tabelle1325[[#This Row],[SD 3]]/[1]!Tabelle1325[[#This Row],[Mean Visc. 3 '[mPas']3]]</f>
        <v>#VALUE!</v>
      </c>
    </row>
    <row r="198" spans="1:31" x14ac:dyDescent="0.3">
      <c r="A198">
        <v>197</v>
      </c>
      <c r="B198" s="4"/>
      <c r="C198" s="5"/>
      <c r="D198" s="7">
        <v>20</v>
      </c>
      <c r="E198" t="s">
        <v>189</v>
      </c>
      <c r="F198" t="s">
        <v>197</v>
      </c>
      <c r="G198" s="23"/>
      <c r="H198" s="11" t="s">
        <v>198</v>
      </c>
      <c r="I198" s="9" t="s">
        <v>12</v>
      </c>
      <c r="J198" s="7">
        <v>25</v>
      </c>
      <c r="K198" s="7">
        <v>22</v>
      </c>
      <c r="L198" s="7">
        <v>30.72</v>
      </c>
      <c r="M198" s="7">
        <v>384</v>
      </c>
      <c r="N198" s="7" t="e">
        <f>[1]!Tabelle1321011121516[[#This Row],[Anzahl Frames]]/[1]!Tabelle1321011121516[[#This Row],[Aufnahmezeit '[s']]]</f>
        <v>#VALUE!</v>
      </c>
      <c r="O198" s="6" t="e">
        <f>1/[1]!Tabelle1321011121516[[#This Row],[Mean fps ]]</f>
        <v>#VALUE!</v>
      </c>
      <c r="P198" s="7">
        <v>40</v>
      </c>
      <c r="Q198" s="3"/>
      <c r="R198" s="11"/>
      <c r="S198" s="7">
        <v>3.024</v>
      </c>
      <c r="T198" s="7">
        <v>1.881</v>
      </c>
      <c r="U198" s="7">
        <v>2.4769999999999999</v>
      </c>
      <c r="V198" s="7"/>
      <c r="W198" s="7"/>
      <c r="X198" s="7"/>
      <c r="Y198" s="7"/>
      <c r="Z198" s="7"/>
      <c r="AA198" s="7"/>
      <c r="AB198" s="7"/>
      <c r="AC198" s="7" t="e">
        <f>Tabelle1311[[#This Row],[SD 1]]/Tabelle1311[[#This Row],[Mean Visc. 1 '[mPas']]]</f>
        <v>#DIV/0!</v>
      </c>
      <c r="AD198" s="7" t="e">
        <f>[1]!Tabelle1325[[#This Row],[SD 2]]/[1]!Tabelle1325[[#This Row],[Mean Visc. 2 '[mPas']2]]</f>
        <v>#VALUE!</v>
      </c>
      <c r="AE198" s="7" t="e">
        <f>[1]!Tabelle1325[[#This Row],[SD 3]]/[1]!Tabelle1325[[#This Row],[Mean Visc. 3 '[mPas']3]]</f>
        <v>#VALUE!</v>
      </c>
    </row>
    <row r="199" spans="1:31" x14ac:dyDescent="0.3">
      <c r="A199">
        <v>198</v>
      </c>
      <c r="B199" s="4"/>
      <c r="C199" s="5"/>
      <c r="D199" s="7">
        <v>20</v>
      </c>
      <c r="E199" t="s">
        <v>189</v>
      </c>
      <c r="F199" t="s">
        <v>197</v>
      </c>
      <c r="G199" s="23"/>
      <c r="H199" s="11" t="s">
        <v>198</v>
      </c>
      <c r="I199" s="9" t="s">
        <v>12</v>
      </c>
      <c r="J199" s="7">
        <v>25</v>
      </c>
      <c r="K199" s="7">
        <v>22</v>
      </c>
      <c r="L199" s="7">
        <v>32.96</v>
      </c>
      <c r="M199" s="7">
        <v>412</v>
      </c>
      <c r="N199" s="7" t="e">
        <f>[1]!Tabelle1321011121516[[#This Row],[Anzahl Frames]]/[1]!Tabelle1321011121516[[#This Row],[Aufnahmezeit '[s']]]</f>
        <v>#VALUE!</v>
      </c>
      <c r="O199" s="6" t="e">
        <f>1/[1]!Tabelle1321011121516[[#This Row],[Mean fps ]]</f>
        <v>#VALUE!</v>
      </c>
      <c r="P199" s="7">
        <v>40</v>
      </c>
      <c r="Q199" s="3"/>
      <c r="R199" s="11"/>
      <c r="S199" s="7">
        <v>2.6240000000000001</v>
      </c>
      <c r="T199" s="7">
        <v>1.7969999999999999</v>
      </c>
      <c r="U199" s="7">
        <v>2.6389999999999998</v>
      </c>
      <c r="V199" s="7"/>
      <c r="W199" s="7"/>
      <c r="X199" s="7"/>
      <c r="Y199" s="7"/>
      <c r="Z199" s="7"/>
      <c r="AA199" s="7"/>
      <c r="AB199" s="7"/>
      <c r="AC199" s="7" t="e">
        <f>Tabelle1311[[#This Row],[SD 1]]/Tabelle1311[[#This Row],[Mean Visc. 1 '[mPas']]]</f>
        <v>#DIV/0!</v>
      </c>
      <c r="AD199" s="7" t="e">
        <f>[1]!Tabelle1325[[#This Row],[SD 2]]/[1]!Tabelle1325[[#This Row],[Mean Visc. 2 '[mPas']2]]</f>
        <v>#VALUE!</v>
      </c>
      <c r="AE199" s="7" t="e">
        <f>[1]!Tabelle1325[[#This Row],[SD 3]]/[1]!Tabelle1325[[#This Row],[Mean Visc. 3 '[mPas']3]]</f>
        <v>#VALUE!</v>
      </c>
    </row>
    <row r="200" spans="1:31" x14ac:dyDescent="0.3">
      <c r="A200">
        <v>199</v>
      </c>
      <c r="B200" s="4"/>
      <c r="C200" s="5"/>
      <c r="D200" s="7">
        <v>20</v>
      </c>
      <c r="E200" t="s">
        <v>189</v>
      </c>
      <c r="F200" t="s">
        <v>197</v>
      </c>
      <c r="G200" s="23"/>
      <c r="H200" s="11" t="s">
        <v>198</v>
      </c>
      <c r="I200" s="9" t="s">
        <v>12</v>
      </c>
      <c r="J200" s="7">
        <v>25.1</v>
      </c>
      <c r="K200" s="7">
        <v>19</v>
      </c>
      <c r="L200" s="7">
        <v>33.6</v>
      </c>
      <c r="M200" s="7">
        <v>421</v>
      </c>
      <c r="N200" s="7" t="e">
        <f>[1]!Tabelle1321011121516[[#This Row],[Anzahl Frames]]/[1]!Tabelle1321011121516[[#This Row],[Aufnahmezeit '[s']]]</f>
        <v>#VALUE!</v>
      </c>
      <c r="O200" s="6" t="e">
        <f>1/[1]!Tabelle1321011121516[[#This Row],[Mean fps ]]</f>
        <v>#VALUE!</v>
      </c>
      <c r="P200" s="7">
        <v>40</v>
      </c>
      <c r="Q200" s="3"/>
      <c r="R200" s="11"/>
      <c r="S200" s="7">
        <v>3.2709999999999999</v>
      </c>
      <c r="T200" s="7">
        <v>2.218</v>
      </c>
      <c r="U200" s="7">
        <v>2.3530000000000002</v>
      </c>
      <c r="V200" s="7"/>
      <c r="W200" s="7"/>
      <c r="X200" s="7"/>
      <c r="Y200" s="7"/>
      <c r="Z200" s="7"/>
      <c r="AA200" s="7"/>
      <c r="AB200" s="7"/>
      <c r="AC200" s="7" t="e">
        <f>Tabelle1311[[#This Row],[SD 1]]/Tabelle1311[[#This Row],[Mean Visc. 1 '[mPas']]]</f>
        <v>#DIV/0!</v>
      </c>
      <c r="AD200" s="7" t="e">
        <f>[1]!Tabelle1325[[#This Row],[SD 2]]/[1]!Tabelle1325[[#This Row],[Mean Visc. 2 '[mPas']2]]</f>
        <v>#VALUE!</v>
      </c>
      <c r="AE200" s="7" t="e">
        <f>[1]!Tabelle1325[[#This Row],[SD 3]]/[1]!Tabelle1325[[#This Row],[Mean Visc. 3 '[mPas']3]]</f>
        <v>#VALUE!</v>
      </c>
    </row>
    <row r="201" spans="1:31" x14ac:dyDescent="0.3">
      <c r="A201">
        <v>200</v>
      </c>
      <c r="B201" s="4"/>
      <c r="C201" s="5"/>
      <c r="D201" s="7">
        <v>20</v>
      </c>
      <c r="E201" t="s">
        <v>189</v>
      </c>
      <c r="F201" t="s">
        <v>197</v>
      </c>
      <c r="G201" s="23"/>
      <c r="H201" s="11" t="s">
        <v>198</v>
      </c>
      <c r="I201" s="9" t="s">
        <v>12</v>
      </c>
      <c r="J201" s="7">
        <v>25.1</v>
      </c>
      <c r="K201" s="7">
        <v>19</v>
      </c>
      <c r="L201" s="7">
        <v>30.32</v>
      </c>
      <c r="M201" s="7">
        <v>380</v>
      </c>
      <c r="N201" s="7" t="e">
        <f>[1]!Tabelle1321011121516[[#This Row],[Anzahl Frames]]/[1]!Tabelle1321011121516[[#This Row],[Aufnahmezeit '[s']]]</f>
        <v>#VALUE!</v>
      </c>
      <c r="O201" s="6" t="e">
        <f>1/[1]!Tabelle1321011121516[[#This Row],[Mean fps ]]</f>
        <v>#VALUE!</v>
      </c>
      <c r="P201" s="7">
        <v>40</v>
      </c>
      <c r="Q201" s="3"/>
      <c r="R201" s="11"/>
      <c r="S201" s="7">
        <v>2.3759999999999999</v>
      </c>
      <c r="T201" s="7">
        <v>1.806</v>
      </c>
      <c r="U201" s="7">
        <v>2.4039999999999999</v>
      </c>
      <c r="V201" s="7"/>
      <c r="W201" s="7">
        <f>SUM(S192:S201)/10</f>
        <v>2.7410000000000005</v>
      </c>
      <c r="X201" s="7">
        <f t="shared" ref="X201:Y201" si="19">SUM(T192:T201)/10</f>
        <v>1.9482000000000004</v>
      </c>
      <c r="Y201" s="7">
        <f t="shared" si="19"/>
        <v>2.5270000000000001</v>
      </c>
      <c r="Z201" s="7">
        <f>_xlfn.STDEV.S(S192:S201)</f>
        <v>0.28638319317539102</v>
      </c>
      <c r="AA201" s="7">
        <f>_xlfn.STDEV.S(T192:T201)</f>
        <v>0.20418227151248952</v>
      </c>
      <c r="AB201" s="7">
        <f>_xlfn.STDEV.S(U192:U201)</f>
        <v>0.13684378766397182</v>
      </c>
      <c r="AC201" s="7">
        <f>Tabelle1311[[#This Row],[SD 1]]/Tabelle1311[[#This Row],[Mean Visc. 1 '[mPas']]]</f>
        <v>0.10448128171302115</v>
      </c>
      <c r="AD201" s="7" t="e">
        <f>[1]!Tabelle1321011121516[[#This Row],[SD 2]]/[1]!Tabelle1321011121516[[#This Row],[Mean Visc. 2 '[mPas']2]]</f>
        <v>#VALUE!</v>
      </c>
      <c r="AE201" s="7" t="e">
        <f>[1]!Tabelle1321011121516[[#This Row],[SD 3]]/[1]!Tabelle1321011121516[[#This Row],[Mean Visc. 3 '[mPas']3]]</f>
        <v>#VALUE!</v>
      </c>
    </row>
    <row r="202" spans="1:31" x14ac:dyDescent="0.3">
      <c r="A202">
        <v>201</v>
      </c>
      <c r="B202" s="4"/>
      <c r="C202" s="5"/>
      <c r="D202" s="7">
        <v>21</v>
      </c>
      <c r="E202" t="s">
        <v>189</v>
      </c>
      <c r="F202" t="s">
        <v>199</v>
      </c>
      <c r="G202" s="23"/>
      <c r="H202" s="11" t="s">
        <v>198</v>
      </c>
      <c r="I202" s="9" t="s">
        <v>12</v>
      </c>
      <c r="J202" s="7">
        <v>22.9</v>
      </c>
      <c r="K202" s="7">
        <v>10</v>
      </c>
      <c r="L202" s="7">
        <v>34.14</v>
      </c>
      <c r="M202" s="7">
        <v>431</v>
      </c>
      <c r="N202" s="7" t="e">
        <f>[1]!Tabelle1321011121516[[#This Row],[Anzahl Frames]]/[1]!Tabelle1321011121516[[#This Row],[Aufnahmezeit '[s']]]</f>
        <v>#VALUE!</v>
      </c>
      <c r="O202" s="6" t="e">
        <f>1/[1]!Tabelle1321011121516[[#This Row],[Mean fps ]]</f>
        <v>#VALUE!</v>
      </c>
      <c r="P202" s="7">
        <v>40</v>
      </c>
      <c r="Q202" s="3"/>
      <c r="R202" s="11"/>
      <c r="S202" s="7">
        <v>1.71</v>
      </c>
      <c r="T202" s="7">
        <v>1.28</v>
      </c>
      <c r="U202" s="7">
        <v>2.0950000000000002</v>
      </c>
      <c r="V202" s="7"/>
      <c r="W202" s="7"/>
      <c r="X202" s="7"/>
      <c r="Y202" s="7"/>
      <c r="Z202" s="7"/>
      <c r="AA202" s="7"/>
      <c r="AB202" s="7"/>
      <c r="AC202" s="7" t="e">
        <f>Tabelle1311[[#This Row],[SD 1]]/Tabelle1311[[#This Row],[Mean Visc. 1 '[mPas']]]</f>
        <v>#DIV/0!</v>
      </c>
      <c r="AD202" s="7" t="e">
        <f>[1]!Tabelle1325[[#This Row],[SD 2]]/[1]!Tabelle1325[[#This Row],[Mean Visc. 2 '[mPas']2]]</f>
        <v>#VALUE!</v>
      </c>
      <c r="AE202" s="7" t="e">
        <f>[1]!Tabelle1325[[#This Row],[SD 3]]/[1]!Tabelle1325[[#This Row],[Mean Visc. 3 '[mPas']3]]</f>
        <v>#VALUE!</v>
      </c>
    </row>
    <row r="203" spans="1:31" x14ac:dyDescent="0.3">
      <c r="A203">
        <v>202</v>
      </c>
      <c r="B203" s="4"/>
      <c r="C203" s="5"/>
      <c r="D203" s="7">
        <v>21</v>
      </c>
      <c r="E203" t="s">
        <v>189</v>
      </c>
      <c r="F203" t="s">
        <v>199</v>
      </c>
      <c r="G203" s="23"/>
      <c r="H203" s="11" t="s">
        <v>198</v>
      </c>
      <c r="I203" s="9" t="s">
        <v>12</v>
      </c>
      <c r="J203" s="7">
        <v>23.1</v>
      </c>
      <c r="K203" s="7">
        <v>10</v>
      </c>
      <c r="L203" s="7">
        <v>32.26</v>
      </c>
      <c r="M203" s="7">
        <v>403</v>
      </c>
      <c r="N203" s="7" t="e">
        <f>[1]!Tabelle1321011121516[[#This Row],[Anzahl Frames]]/[1]!Tabelle1321011121516[[#This Row],[Aufnahmezeit '[s']]]</f>
        <v>#VALUE!</v>
      </c>
      <c r="O203" s="6" t="e">
        <f>1/[1]!Tabelle1321011121516[[#This Row],[Mean fps ]]</f>
        <v>#VALUE!</v>
      </c>
      <c r="P203" s="7">
        <v>40</v>
      </c>
      <c r="Q203" s="3"/>
      <c r="R203" s="11"/>
      <c r="S203" s="7">
        <v>1.7170000000000001</v>
      </c>
      <c r="T203" s="7">
        <v>1.39</v>
      </c>
      <c r="U203" s="7">
        <v>2.11</v>
      </c>
      <c r="V203" s="7"/>
      <c r="W203" s="7"/>
      <c r="X203" s="7"/>
      <c r="Y203" s="7"/>
      <c r="Z203" s="7"/>
      <c r="AA203" s="7"/>
      <c r="AB203" s="7"/>
      <c r="AC203" s="7" t="e">
        <f>Tabelle1311[[#This Row],[SD 1]]/Tabelle1311[[#This Row],[Mean Visc. 1 '[mPas']]]</f>
        <v>#DIV/0!</v>
      </c>
      <c r="AD203" s="7" t="e">
        <f>[1]!Tabelle1325[[#This Row],[SD 2]]/[1]!Tabelle1325[[#This Row],[Mean Visc. 2 '[mPas']2]]</f>
        <v>#VALUE!</v>
      </c>
      <c r="AE203" s="7" t="e">
        <f>[1]!Tabelle1325[[#This Row],[SD 3]]/[1]!Tabelle1325[[#This Row],[Mean Visc. 3 '[mPas']3]]</f>
        <v>#VALUE!</v>
      </c>
    </row>
    <row r="204" spans="1:31" x14ac:dyDescent="0.3">
      <c r="A204">
        <v>203</v>
      </c>
      <c r="B204" s="4"/>
      <c r="C204" s="5"/>
      <c r="D204" s="7">
        <v>21</v>
      </c>
      <c r="E204" t="s">
        <v>189</v>
      </c>
      <c r="F204" t="s">
        <v>199</v>
      </c>
      <c r="G204" s="23"/>
      <c r="H204" s="11" t="s">
        <v>198</v>
      </c>
      <c r="I204" s="9" t="s">
        <v>12</v>
      </c>
      <c r="J204" s="7">
        <v>23.3</v>
      </c>
      <c r="K204" s="7">
        <v>10</v>
      </c>
      <c r="L204" s="7">
        <v>32.96</v>
      </c>
      <c r="M204" s="7">
        <v>412</v>
      </c>
      <c r="N204" s="7" t="e">
        <f>[1]!Tabelle1321011121516[[#This Row],[Anzahl Frames]]/[1]!Tabelle1321011121516[[#This Row],[Aufnahmezeit '[s']]]</f>
        <v>#VALUE!</v>
      </c>
      <c r="O204" s="6" t="e">
        <f>1/[1]!Tabelle1321011121516[[#This Row],[Mean fps ]]</f>
        <v>#VALUE!</v>
      </c>
      <c r="P204" s="7">
        <v>40</v>
      </c>
      <c r="Q204" s="3"/>
      <c r="R204" s="11"/>
      <c r="S204" s="7">
        <v>1.6890000000000001</v>
      </c>
      <c r="T204" s="7">
        <v>1.2789999999999999</v>
      </c>
      <c r="U204" s="7">
        <v>2.105</v>
      </c>
      <c r="V204" s="7"/>
      <c r="W204" s="7"/>
      <c r="X204" s="7"/>
      <c r="Y204" s="7"/>
      <c r="Z204" s="7"/>
      <c r="AA204" s="7"/>
      <c r="AB204" s="7"/>
      <c r="AC204" s="7" t="e">
        <f>Tabelle1311[[#This Row],[SD 1]]/Tabelle1311[[#This Row],[Mean Visc. 1 '[mPas']]]</f>
        <v>#DIV/0!</v>
      </c>
      <c r="AD204" s="7" t="e">
        <f>[1]!Tabelle1325[[#This Row],[SD 2]]/[1]!Tabelle1325[[#This Row],[Mean Visc. 2 '[mPas']2]]</f>
        <v>#VALUE!</v>
      </c>
      <c r="AE204" s="7" t="e">
        <f>[1]!Tabelle1325[[#This Row],[SD 3]]/[1]!Tabelle1325[[#This Row],[Mean Visc. 3 '[mPas']3]]</f>
        <v>#VALUE!</v>
      </c>
    </row>
    <row r="205" spans="1:31" x14ac:dyDescent="0.3">
      <c r="A205">
        <v>204</v>
      </c>
      <c r="B205" s="4"/>
      <c r="C205" s="5"/>
      <c r="D205" s="7">
        <v>21</v>
      </c>
      <c r="E205" t="s">
        <v>189</v>
      </c>
      <c r="F205" t="s">
        <v>199</v>
      </c>
      <c r="G205" s="23"/>
      <c r="H205" s="11" t="s">
        <v>198</v>
      </c>
      <c r="I205" s="9" t="s">
        <v>12</v>
      </c>
      <c r="J205" s="7">
        <v>23.4</v>
      </c>
      <c r="K205" s="7">
        <v>10</v>
      </c>
      <c r="L205" s="7">
        <v>31.38</v>
      </c>
      <c r="M205" s="7">
        <v>392</v>
      </c>
      <c r="N205" s="7" t="e">
        <f>[1]!Tabelle1321011121516[[#This Row],[Anzahl Frames]]/[1]!Tabelle1321011121516[[#This Row],[Aufnahmezeit '[s']]]</f>
        <v>#VALUE!</v>
      </c>
      <c r="O205" s="6" t="e">
        <f>1/[1]!Tabelle1321011121516[[#This Row],[Mean fps ]]</f>
        <v>#VALUE!</v>
      </c>
      <c r="P205" s="7">
        <v>40</v>
      </c>
      <c r="Q205" s="3"/>
      <c r="R205" s="11"/>
      <c r="S205" s="7">
        <v>1.911</v>
      </c>
      <c r="T205" s="7">
        <v>1.446</v>
      </c>
      <c r="U205" s="7">
        <v>2.2200000000000002</v>
      </c>
      <c r="V205" s="7"/>
      <c r="W205" s="7"/>
      <c r="X205" s="7"/>
      <c r="Y205" s="7"/>
      <c r="Z205" s="7"/>
      <c r="AA205" s="7"/>
      <c r="AB205" s="7"/>
      <c r="AC205" s="7" t="e">
        <f>Tabelle1311[[#This Row],[SD 1]]/Tabelle1311[[#This Row],[Mean Visc. 1 '[mPas']]]</f>
        <v>#DIV/0!</v>
      </c>
      <c r="AD205" s="7" t="e">
        <f>[1]!Tabelle1325[[#This Row],[SD 2]]/[1]!Tabelle1325[[#This Row],[Mean Visc. 2 '[mPas']2]]</f>
        <v>#VALUE!</v>
      </c>
      <c r="AE205" s="7" t="e">
        <f>[1]!Tabelle1325[[#This Row],[SD 3]]/[1]!Tabelle1325[[#This Row],[Mean Visc. 3 '[mPas']3]]</f>
        <v>#VALUE!</v>
      </c>
    </row>
    <row r="206" spans="1:31" ht="15" thickBot="1" x14ac:dyDescent="0.35">
      <c r="A206">
        <v>205</v>
      </c>
      <c r="B206" s="15"/>
      <c r="C206" s="16"/>
      <c r="D206" s="7">
        <v>21</v>
      </c>
      <c r="E206" t="s">
        <v>189</v>
      </c>
      <c r="F206" t="s">
        <v>199</v>
      </c>
      <c r="G206" s="24"/>
      <c r="H206" s="21" t="s">
        <v>198</v>
      </c>
      <c r="I206" s="9" t="s">
        <v>12</v>
      </c>
      <c r="J206" s="17">
        <v>23.4</v>
      </c>
      <c r="K206" s="17">
        <v>10</v>
      </c>
      <c r="L206" s="17">
        <v>30.42</v>
      </c>
      <c r="M206" s="17">
        <v>380</v>
      </c>
      <c r="N206" s="17" t="e">
        <f>[1]!Tabelle1321011121516[[#This Row],[Anzahl Frames]]/[1]!Tabelle1321011121516[[#This Row],[Aufnahmezeit '[s']]]</f>
        <v>#VALUE!</v>
      </c>
      <c r="O206" s="25" t="e">
        <f>1/[1]!Tabelle1321011121516[[#This Row],[Mean fps ]]</f>
        <v>#VALUE!</v>
      </c>
      <c r="P206" s="17">
        <v>40</v>
      </c>
      <c r="Q206" s="20"/>
      <c r="R206" s="21"/>
      <c r="S206" s="17">
        <v>1.8149999999999999</v>
      </c>
      <c r="T206" s="17">
        <v>1.431</v>
      </c>
      <c r="U206" s="17">
        <v>2.0960000000000001</v>
      </c>
      <c r="V206" s="17"/>
      <c r="W206" s="17"/>
      <c r="X206" s="17"/>
      <c r="Y206" s="17"/>
      <c r="Z206" s="17"/>
      <c r="AA206" s="17"/>
      <c r="AB206" s="17"/>
      <c r="AC206" s="17" t="e">
        <f>Tabelle1311[[#This Row],[SD 1]]/Tabelle1311[[#This Row],[Mean Visc. 1 '[mPas']]]</f>
        <v>#DIV/0!</v>
      </c>
      <c r="AD206" s="17" t="e">
        <f>[1]!Tabelle1325[[#This Row],[SD 2]]/[1]!Tabelle1325[[#This Row],[Mean Visc. 2 '[mPas']2]]</f>
        <v>#VALUE!</v>
      </c>
      <c r="AE206" s="17" t="e">
        <f>[1]!Tabelle1325[[#This Row],[SD 3]]/[1]!Tabelle1325[[#This Row],[Mean Visc. 3 '[mPas']3]]</f>
        <v>#VALUE!</v>
      </c>
    </row>
    <row r="207" spans="1:31" ht="15" thickTop="1" x14ac:dyDescent="0.3">
      <c r="A207">
        <v>206</v>
      </c>
      <c r="B207" s="4"/>
      <c r="C207" s="5"/>
      <c r="D207" s="7">
        <v>21</v>
      </c>
      <c r="E207" t="s">
        <v>189</v>
      </c>
      <c r="F207" t="s">
        <v>199</v>
      </c>
      <c r="G207" s="23"/>
      <c r="H207" s="11" t="s">
        <v>198</v>
      </c>
      <c r="I207" s="9" t="s">
        <v>12</v>
      </c>
      <c r="J207" s="7">
        <v>23.6</v>
      </c>
      <c r="K207" s="7">
        <v>10</v>
      </c>
      <c r="L207" s="7">
        <v>30.48</v>
      </c>
      <c r="M207" s="7">
        <v>382</v>
      </c>
      <c r="N207" s="7" t="e">
        <f>[1]!Tabelle1321011121516[[#This Row],[Anzahl Frames]]/[1]!Tabelle1321011121516[[#This Row],[Aufnahmezeit '[s']]]</f>
        <v>#VALUE!</v>
      </c>
      <c r="O207" s="6" t="e">
        <f>1/[1]!Tabelle1321011121516[[#This Row],[Mean fps ]]</f>
        <v>#VALUE!</v>
      </c>
      <c r="P207" s="7">
        <v>40</v>
      </c>
      <c r="Q207" s="3"/>
      <c r="R207" s="11"/>
      <c r="S207" s="7">
        <v>1.734</v>
      </c>
      <c r="T207" s="7">
        <v>1.4179999999999999</v>
      </c>
      <c r="U207" s="7">
        <v>2.1789999999999998</v>
      </c>
      <c r="V207" s="7"/>
      <c r="W207" s="7"/>
      <c r="X207" s="7"/>
      <c r="Y207" s="7"/>
      <c r="Z207" s="7"/>
      <c r="AA207" s="7"/>
      <c r="AB207" s="7"/>
      <c r="AC207" s="7" t="e">
        <f>Tabelle1311[[#This Row],[SD 1]]/Tabelle1311[[#This Row],[Mean Visc. 1 '[mPas']]]</f>
        <v>#DIV/0!</v>
      </c>
      <c r="AD207" s="7" t="e">
        <f>[1]!Tabelle1325[[#This Row],[SD 2]]/[1]!Tabelle1325[[#This Row],[Mean Visc. 2 '[mPas']2]]</f>
        <v>#VALUE!</v>
      </c>
      <c r="AE207" s="7" t="e">
        <f>[1]!Tabelle1325[[#This Row],[SD 3]]/[1]!Tabelle1325[[#This Row],[Mean Visc. 3 '[mPas']3]]</f>
        <v>#VALUE!</v>
      </c>
    </row>
    <row r="208" spans="1:31" x14ac:dyDescent="0.3">
      <c r="A208">
        <v>207</v>
      </c>
      <c r="B208" s="4"/>
      <c r="C208" s="5"/>
      <c r="D208" s="7">
        <v>21</v>
      </c>
      <c r="E208" t="s">
        <v>189</v>
      </c>
      <c r="F208" t="s">
        <v>199</v>
      </c>
      <c r="G208" s="23"/>
      <c r="H208" s="11" t="s">
        <v>198</v>
      </c>
      <c r="I208" s="9" t="s">
        <v>12</v>
      </c>
      <c r="J208" s="7">
        <v>23.7</v>
      </c>
      <c r="K208" s="7">
        <v>10</v>
      </c>
      <c r="L208" s="7">
        <v>29.36</v>
      </c>
      <c r="M208" s="7">
        <v>368</v>
      </c>
      <c r="N208" s="7" t="e">
        <f>[1]!Tabelle1321011121516[[#This Row],[Anzahl Frames]]/[1]!Tabelle1321011121516[[#This Row],[Aufnahmezeit '[s']]]</f>
        <v>#VALUE!</v>
      </c>
      <c r="O208" s="6" t="e">
        <f>1/[1]!Tabelle1321011121516[[#This Row],[Mean fps ]]</f>
        <v>#VALUE!</v>
      </c>
      <c r="P208" s="7">
        <v>40</v>
      </c>
      <c r="Q208" s="3"/>
      <c r="R208" s="11"/>
      <c r="S208" s="7">
        <v>1.6779999999999999</v>
      </c>
      <c r="T208" s="7">
        <v>1.3380000000000001</v>
      </c>
      <c r="U208" s="7">
        <v>2.169</v>
      </c>
      <c r="V208" s="7"/>
      <c r="W208" s="7"/>
      <c r="X208" s="7"/>
      <c r="Y208" s="7"/>
      <c r="Z208" s="7"/>
      <c r="AA208" s="7"/>
      <c r="AB208" s="7"/>
      <c r="AC208" s="7" t="e">
        <f>Tabelle1311[[#This Row],[SD 1]]/Tabelle1311[[#This Row],[Mean Visc. 1 '[mPas']]]</f>
        <v>#DIV/0!</v>
      </c>
      <c r="AD208" s="7" t="e">
        <f>[1]!Tabelle1325[[#This Row],[SD 2]]/[1]!Tabelle1325[[#This Row],[Mean Visc. 2 '[mPas']2]]</f>
        <v>#VALUE!</v>
      </c>
      <c r="AE208" s="7" t="e">
        <f>[1]!Tabelle1325[[#This Row],[SD 3]]/[1]!Tabelle1325[[#This Row],[Mean Visc. 3 '[mPas']3]]</f>
        <v>#VALUE!</v>
      </c>
    </row>
    <row r="209" spans="1:31" x14ac:dyDescent="0.3">
      <c r="A209">
        <v>208</v>
      </c>
      <c r="B209" s="4"/>
      <c r="C209" s="5"/>
      <c r="D209" s="7">
        <v>21</v>
      </c>
      <c r="E209" t="s">
        <v>189</v>
      </c>
      <c r="F209" t="s">
        <v>199</v>
      </c>
      <c r="G209" s="23"/>
      <c r="H209" s="11" t="s">
        <v>198</v>
      </c>
      <c r="I209" s="9" t="s">
        <v>12</v>
      </c>
      <c r="J209" s="7">
        <v>23.8</v>
      </c>
      <c r="K209" s="7">
        <v>10</v>
      </c>
      <c r="L209" s="7">
        <v>30.18</v>
      </c>
      <c r="M209" s="7">
        <v>377</v>
      </c>
      <c r="N209" s="7" t="e">
        <f>[1]!Tabelle1321011121516[[#This Row],[Anzahl Frames]]/[1]!Tabelle1321011121516[[#This Row],[Aufnahmezeit '[s']]]</f>
        <v>#VALUE!</v>
      </c>
      <c r="O209" s="6" t="e">
        <f>1/[1]!Tabelle1321011121516[[#This Row],[Mean fps ]]</f>
        <v>#VALUE!</v>
      </c>
      <c r="P209" s="7">
        <v>40</v>
      </c>
      <c r="Q209" s="3"/>
      <c r="R209" s="11"/>
      <c r="S209" s="7">
        <v>1.55</v>
      </c>
      <c r="T209" s="7">
        <v>1.2849999999999999</v>
      </c>
      <c r="U209" s="7">
        <v>2.0779999999999998</v>
      </c>
      <c r="V209" s="7"/>
      <c r="W209" s="7"/>
      <c r="X209" s="7"/>
      <c r="Y209" s="7"/>
      <c r="Z209" s="7"/>
      <c r="AA209" s="7"/>
      <c r="AB209" s="7"/>
      <c r="AC209" s="7" t="e">
        <f>Tabelle1311[[#This Row],[SD 1]]/Tabelle1311[[#This Row],[Mean Visc. 1 '[mPas']]]</f>
        <v>#DIV/0!</v>
      </c>
      <c r="AD209" s="7" t="e">
        <f>[1]!Tabelle1325[[#This Row],[SD 2]]/[1]!Tabelle1325[[#This Row],[Mean Visc. 2 '[mPas']2]]</f>
        <v>#VALUE!</v>
      </c>
      <c r="AE209" s="7" t="e">
        <f>[1]!Tabelle1325[[#This Row],[SD 3]]/[1]!Tabelle1325[[#This Row],[Mean Visc. 3 '[mPas']3]]</f>
        <v>#VALUE!</v>
      </c>
    </row>
    <row r="210" spans="1:31" x14ac:dyDescent="0.3">
      <c r="A210">
        <v>209</v>
      </c>
      <c r="B210" s="4"/>
      <c r="C210" s="5"/>
      <c r="D210" s="7">
        <v>21</v>
      </c>
      <c r="E210" t="s">
        <v>189</v>
      </c>
      <c r="F210" t="s">
        <v>199</v>
      </c>
      <c r="G210" s="23"/>
      <c r="H210" s="11" t="s">
        <v>198</v>
      </c>
      <c r="I210" s="9" t="s">
        <v>12</v>
      </c>
      <c r="J210" s="7">
        <v>23.9</v>
      </c>
      <c r="K210" s="7">
        <v>10</v>
      </c>
      <c r="L210" s="7">
        <v>30.88</v>
      </c>
      <c r="M210" s="7">
        <v>387</v>
      </c>
      <c r="N210" s="7" t="e">
        <f>[1]!Tabelle1321011121516[[#This Row],[Anzahl Frames]]/[1]!Tabelle1321011121516[[#This Row],[Aufnahmezeit '[s']]]</f>
        <v>#VALUE!</v>
      </c>
      <c r="O210" s="6" t="e">
        <f>1/[1]!Tabelle1321011121516[[#This Row],[Mean fps ]]</f>
        <v>#VALUE!</v>
      </c>
      <c r="P210" s="7">
        <v>40</v>
      </c>
      <c r="Q210" s="3"/>
      <c r="R210" s="11"/>
      <c r="S210" s="7">
        <v>1.6459999999999999</v>
      </c>
      <c r="T210" s="7">
        <v>1.2509999999999999</v>
      </c>
      <c r="U210" s="7">
        <v>2.1179999999999999</v>
      </c>
      <c r="V210" s="7"/>
      <c r="W210" s="7"/>
      <c r="X210" s="7"/>
      <c r="Y210" s="7"/>
      <c r="Z210" s="7"/>
      <c r="AA210" s="7"/>
      <c r="AB210" s="7"/>
      <c r="AC210" s="7" t="e">
        <f>Tabelle1311[[#This Row],[SD 1]]/Tabelle1311[[#This Row],[Mean Visc. 1 '[mPas']]]</f>
        <v>#DIV/0!</v>
      </c>
      <c r="AD210" s="7" t="e">
        <f>[1]!Tabelle1325[[#This Row],[SD 2]]/[1]!Tabelle1325[[#This Row],[Mean Visc. 2 '[mPas']2]]</f>
        <v>#VALUE!</v>
      </c>
      <c r="AE210" s="7" t="e">
        <f>[1]!Tabelle1325[[#This Row],[SD 3]]/[1]!Tabelle1325[[#This Row],[Mean Visc. 3 '[mPas']3]]</f>
        <v>#VALUE!</v>
      </c>
    </row>
    <row r="211" spans="1:31" x14ac:dyDescent="0.3">
      <c r="A211">
        <v>210</v>
      </c>
      <c r="B211" s="4"/>
      <c r="C211" s="5"/>
      <c r="D211" s="7">
        <v>21</v>
      </c>
      <c r="E211" t="s">
        <v>189</v>
      </c>
      <c r="F211" t="s">
        <v>199</v>
      </c>
      <c r="G211" s="23"/>
      <c r="H211" s="11" t="s">
        <v>198</v>
      </c>
      <c r="I211" s="9" t="s">
        <v>12</v>
      </c>
      <c r="J211" s="7">
        <v>23.9</v>
      </c>
      <c r="K211" s="7">
        <v>10</v>
      </c>
      <c r="L211" s="7">
        <v>30.48</v>
      </c>
      <c r="M211" s="7">
        <v>382</v>
      </c>
      <c r="N211" s="7" t="e">
        <f>[1]!Tabelle1321011121516[[#This Row],[Anzahl Frames]]/[1]!Tabelle1321011121516[[#This Row],[Aufnahmezeit '[s']]]</f>
        <v>#VALUE!</v>
      </c>
      <c r="O211" s="6" t="e">
        <f>1/[1]!Tabelle1321011121516[[#This Row],[Mean fps ]]</f>
        <v>#VALUE!</v>
      </c>
      <c r="P211" s="7">
        <v>40</v>
      </c>
      <c r="Q211" s="3"/>
      <c r="R211" s="11"/>
      <c r="S211" s="7">
        <v>1.5980000000000001</v>
      </c>
      <c r="T211" s="7">
        <v>1.27</v>
      </c>
      <c r="U211" s="7">
        <v>2.0779999999999998</v>
      </c>
      <c r="V211" s="7"/>
      <c r="W211" s="7">
        <f>SUM(S202:S211)/10</f>
        <v>1.7047999999999999</v>
      </c>
      <c r="X211" s="7">
        <f t="shared" ref="X211:Y211" si="20">SUM(T202:T211)/10</f>
        <v>1.3388</v>
      </c>
      <c r="Y211" s="7">
        <f t="shared" si="20"/>
        <v>2.1248</v>
      </c>
      <c r="Z211" s="7">
        <f>_xlfn.STDEV.S(S202:S211)</f>
        <v>0.10300248109201597</v>
      </c>
      <c r="AA211" s="7">
        <f>_xlfn.STDEV.S(T202:T211)</f>
        <v>7.5467137807716606E-2</v>
      </c>
      <c r="AB211" s="7">
        <f>_xlfn.STDEV.S(U202:U211)</f>
        <v>4.7969434712811364E-2</v>
      </c>
      <c r="AC211" s="7">
        <f>Tabelle1311[[#This Row],[SD 1]]/Tabelle1311[[#This Row],[Mean Visc. 1 '[mPas']]]</f>
        <v>6.041909965510088E-2</v>
      </c>
      <c r="AD211" s="7" t="e">
        <f>[1]!Tabelle1321011121516[[#This Row],[SD 2]]/[1]!Tabelle1321011121516[[#This Row],[Mean Visc. 2 '[mPas']2]]</f>
        <v>#VALUE!</v>
      </c>
      <c r="AE211" s="7" t="e">
        <f>[1]!Tabelle1321011121516[[#This Row],[SD 3]]/[1]!Tabelle1321011121516[[#This Row],[Mean Visc. 3 '[mPas']3]]</f>
        <v>#VALUE!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Validierung3_VPT </vt:lpstr>
      <vt:lpstr>VPT_fresh_frozen</vt:lpstr>
      <vt:lpstr>VPT_fresh_cooled</vt:lpstr>
      <vt:lpstr>VPT_nativ_ret_filt</vt:lpstr>
      <vt:lpstr>VPT_Patients_POC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Lenz</dc:creator>
  <cp:lastModifiedBy>Ludwig Lenz</cp:lastModifiedBy>
  <dcterms:created xsi:type="dcterms:W3CDTF">2025-11-07T15:12:18Z</dcterms:created>
  <dcterms:modified xsi:type="dcterms:W3CDTF">2026-07-14T11:58:29Z</dcterms:modified>
</cp:coreProperties>
</file>